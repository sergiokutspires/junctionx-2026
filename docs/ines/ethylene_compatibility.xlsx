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uit Compatibility" sheetId="1" state="visible" r:id="rId3"/>
    <sheet name="Vegetable Compatibility" sheetId="2" state="visible" r:id="rId4"/>
    <sheet name="Input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<sst xmlns="http://schemas.openxmlformats.org/spreadsheetml/2006/main" count="288" uniqueCount="71">
  <si>
    <t xml:space="preserve">Fruit compatibility: ethylene risk when stored together (1 = best, 9 = worst)</t>
  </si>
  <si>
    <t xml:space="preserve">Score = worst direction: MAX(producer of A x sensitivity of B, producer of B x sensitivity of A). Low=1, Medium=2, High=3.</t>
  </si>
  <si>
    <t xml:space="preserve">Producer score</t>
  </si>
  <si>
    <t xml:space="preserve">Sensitivity score</t>
  </si>
  <si>
    <t xml:space="preserve">Type</t>
  </si>
  <si>
    <t xml:space="preserve">Producer</t>
  </si>
  <si>
    <t xml:space="preserve">Sensitive</t>
  </si>
  <si>
    <t xml:space="preserve">Apple</t>
  </si>
  <si>
    <t xml:space="preserve">Apricot</t>
  </si>
  <si>
    <t xml:space="preserve">Avocado</t>
  </si>
  <si>
    <t xml:space="preserve">Banana</t>
  </si>
  <si>
    <t xml:space="preserve">Cherries</t>
  </si>
  <si>
    <t xml:space="preserve">Clementine</t>
  </si>
  <si>
    <t xml:space="preserve">Granadilla</t>
  </si>
  <si>
    <t xml:space="preserve">Grapes</t>
  </si>
  <si>
    <t xml:space="preserve">Guava</t>
  </si>
  <si>
    <t xml:space="preserve">Kiwi</t>
  </si>
  <si>
    <t xml:space="preserve">Lemon</t>
  </si>
  <si>
    <t xml:space="preserve">Lime</t>
  </si>
  <si>
    <t xml:space="preserve">Mango</t>
  </si>
  <si>
    <t xml:space="preserve">Melon</t>
  </si>
  <si>
    <t xml:space="preserve">Nectarine</t>
  </si>
  <si>
    <t xml:space="preserve">Orange</t>
  </si>
  <si>
    <t xml:space="preserve">Papaya</t>
  </si>
  <si>
    <t xml:space="preserve">Passion Fruit</t>
  </si>
  <si>
    <t xml:space="preserve">Peach</t>
  </si>
  <si>
    <t xml:space="preserve">Pear</t>
  </si>
  <si>
    <t xml:space="preserve">Pineapple</t>
  </si>
  <si>
    <t xml:space="preserve">Pitaya</t>
  </si>
  <si>
    <t xml:space="preserve">Strawberries</t>
  </si>
  <si>
    <t xml:space="preserve">Watermelon</t>
  </si>
  <si>
    <t xml:space="preserve">Legend</t>
  </si>
  <si>
    <t xml:space="preserve">1-3 Compatible: can share space</t>
  </si>
  <si>
    <t xml:space="preserve">4-6 Caution: separate shelves, remove damaged items quickly</t>
  </si>
  <si>
    <t xml:space="preserve">7-9 Avoid: keep apart</t>
  </si>
  <si>
    <t xml:space="preserve">Pairs (each counted once):</t>
  </si>
  <si>
    <t xml:space="preserve">Compatible (1-3)</t>
  </si>
  <si>
    <t xml:space="preserve">Caution (4-6)</t>
  </si>
  <si>
    <t xml:space="preserve">Avoid (7-9)</t>
  </si>
  <si>
    <t xml:space="preserve">Vegetable compatibility: ethylene risk when stored together (1 = best, 9 = worst)</t>
  </si>
  <si>
    <t xml:space="preserve">Broccoli</t>
  </si>
  <si>
    <t xml:space="preserve">Cabbage</t>
  </si>
  <si>
    <t xml:space="preserve">Cauliflower</t>
  </si>
  <si>
    <t xml:space="preserve">Chayote</t>
  </si>
  <si>
    <t xml:space="preserve">Cucumber</t>
  </si>
  <si>
    <t xml:space="preserve">Eggplant</t>
  </si>
  <si>
    <t xml:space="preserve">Garlic</t>
  </si>
  <si>
    <t xml:space="preserve">Ginger</t>
  </si>
  <si>
    <t xml:space="preserve">Green Beans</t>
  </si>
  <si>
    <t xml:space="preserve">Lettuce</t>
  </si>
  <si>
    <t xml:space="preserve">Onion</t>
  </si>
  <si>
    <t xml:space="preserve">Pepper</t>
  </si>
  <si>
    <t xml:space="preserve">Potato</t>
  </si>
  <si>
    <t xml:space="preserve">Pumpkin</t>
  </si>
  <si>
    <t xml:space="preserve">Sweet Potato</t>
  </si>
  <si>
    <t xml:space="preserve">Tomato</t>
  </si>
  <si>
    <t xml:space="preserve">Zucchini</t>
  </si>
  <si>
    <t xml:space="preserve">Category</t>
  </si>
  <si>
    <t xml:space="preserve">Ethylene producer</t>
  </si>
  <si>
    <t xml:space="preserve">Ethylene sensitive</t>
  </si>
  <si>
    <t xml:space="preserve">Edit the producer / sensitive levels (low, medium, high) in columns C and D; both matrices update automatically.</t>
  </si>
  <si>
    <t xml:space="preserve">Fruit</t>
  </si>
  <si>
    <t xml:space="preserve">high</t>
  </si>
  <si>
    <t xml:space="preserve">medium</t>
  </si>
  <si>
    <t xml:space="preserve">low</t>
  </si>
  <si>
    <t xml:space="preserve">Vegetable</t>
  </si>
  <si>
    <t xml:space="preserve">Type-level ratings from produce_biology_reference.csv. Where products of one type differ (melon: cantaloupe and galia are high producers, green melon is low), the highest level is used to stay conservative.</t>
  </si>
  <si>
    <t xml:space="preserve">Score = ethylene risk from the worse of the two directions. The matrices are symmetric; the diagonal (same type) is blank.</t>
  </si>
  <si>
    <t xml:space="preserve">Based on ethylene only: temperature, humidity, odour transfer (e.g. onion, garlic) and chilling injury are not modelled.</t>
  </si>
  <si>
    <t xml:space="preserve">Exception: apples or bananas are deliberately placed next to avocados, kiwis or pears to speed up ripening. That scores as Avoid here because the goal in store is to delay ripening.</t>
  </si>
  <si>
    <t xml:space="preserve">Producer and sensitive levels were mostly medium confidence in the source file; edit the Inputs sheet to correct them.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</si>
</sst>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DEDED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27" min="4" style="0" width="6.5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 t="n">
        <f aca="false">INDEX(Inputs!$E$2:$E$42,MATCH(D$6,Inputs!$B$2:$B$42,0))</f>
        <v>3</v>
      </c>
      <c r="E4" s="4" t="n">
        <f aca="false">INDEX(Inputs!$E$2:$E$42,MATCH(E$6,Inputs!$B$2:$B$42,0))</f>
        <v>3</v>
      </c>
      <c r="F4" s="4" t="n">
        <f aca="false">INDEX(Inputs!$E$2:$E$42,MATCH(F$6,Inputs!$B$2:$B$42,0))</f>
        <v>3</v>
      </c>
      <c r="G4" s="4" t="n">
        <f aca="false">INDEX(Inputs!$E$2:$E$42,MATCH(G$6,Inputs!$B$2:$B$42,0))</f>
        <v>2</v>
      </c>
      <c r="H4" s="4" t="n">
        <f aca="false">INDEX(Inputs!$E$2:$E$42,MATCH(H$6,Inputs!$B$2:$B$42,0))</f>
        <v>1</v>
      </c>
      <c r="I4" s="4" t="n">
        <f aca="false">INDEX(Inputs!$E$2:$E$42,MATCH(I$6,Inputs!$B$2:$B$42,0))</f>
        <v>1</v>
      </c>
      <c r="J4" s="4" t="n">
        <f aca="false">INDEX(Inputs!$E$2:$E$42,MATCH(J$6,Inputs!$B$2:$B$42,0))</f>
        <v>3</v>
      </c>
      <c r="K4" s="4" t="n">
        <f aca="false">INDEX(Inputs!$E$2:$E$42,MATCH(K$6,Inputs!$B$2:$B$42,0))</f>
        <v>1</v>
      </c>
      <c r="L4" s="4" t="n">
        <f aca="false">INDEX(Inputs!$E$2:$E$42,MATCH(L$6,Inputs!$B$2:$B$42,0))</f>
        <v>2</v>
      </c>
      <c r="M4" s="4" t="n">
        <f aca="false">INDEX(Inputs!$E$2:$E$42,MATCH(M$6,Inputs!$B$2:$B$42,0))</f>
        <v>3</v>
      </c>
      <c r="N4" s="4" t="n">
        <f aca="false">INDEX(Inputs!$E$2:$E$42,MATCH(N$6,Inputs!$B$2:$B$42,0))</f>
        <v>1</v>
      </c>
      <c r="O4" s="4" t="n">
        <f aca="false">INDEX(Inputs!$E$2:$E$42,MATCH(O$6,Inputs!$B$2:$B$42,0))</f>
        <v>1</v>
      </c>
      <c r="P4" s="4" t="n">
        <f aca="false">INDEX(Inputs!$E$2:$E$42,MATCH(P$6,Inputs!$B$2:$B$42,0))</f>
        <v>2</v>
      </c>
      <c r="Q4" s="4" t="n">
        <f aca="false">INDEX(Inputs!$E$2:$E$42,MATCH(Q$6,Inputs!$B$2:$B$42,0))</f>
        <v>3</v>
      </c>
      <c r="R4" s="4" t="n">
        <f aca="false">INDEX(Inputs!$E$2:$E$42,MATCH(R$6,Inputs!$B$2:$B$42,0))</f>
        <v>3</v>
      </c>
      <c r="S4" s="4" t="n">
        <f aca="false">INDEX(Inputs!$E$2:$E$42,MATCH(S$6,Inputs!$B$2:$B$42,0))</f>
        <v>1</v>
      </c>
      <c r="T4" s="4" t="n">
        <f aca="false">INDEX(Inputs!$E$2:$E$42,MATCH(T$6,Inputs!$B$2:$B$42,0))</f>
        <v>3</v>
      </c>
      <c r="U4" s="4" t="n">
        <f aca="false">INDEX(Inputs!$E$2:$E$42,MATCH(U$6,Inputs!$B$2:$B$42,0))</f>
        <v>3</v>
      </c>
      <c r="V4" s="4" t="n">
        <f aca="false">INDEX(Inputs!$E$2:$E$42,MATCH(V$6,Inputs!$B$2:$B$42,0))</f>
        <v>3</v>
      </c>
      <c r="W4" s="4" t="n">
        <f aca="false">INDEX(Inputs!$E$2:$E$42,MATCH(W$6,Inputs!$B$2:$B$42,0))</f>
        <v>3</v>
      </c>
      <c r="X4" s="4" t="n">
        <f aca="false">INDEX(Inputs!$E$2:$E$42,MATCH(X$6,Inputs!$B$2:$B$42,0))</f>
        <v>1</v>
      </c>
      <c r="Y4" s="4" t="n">
        <f aca="false">INDEX(Inputs!$E$2:$E$42,MATCH(Y$6,Inputs!$B$2:$B$42,0))</f>
        <v>1</v>
      </c>
      <c r="Z4" s="4" t="n">
        <f aca="false">INDEX(Inputs!$E$2:$E$42,MATCH(Z$6,Inputs!$B$2:$B$42,0))</f>
        <v>1</v>
      </c>
      <c r="AA4" s="4" t="n">
        <f aca="false">INDEX(Inputs!$E$2:$E$42,MATCH(AA$6,Inputs!$B$2:$B$42,0))</f>
        <v>1</v>
      </c>
    </row>
    <row r="5" customFormat="false" ht="15" hidden="false" customHeight="false" outlineLevel="0" collapsed="false">
      <c r="A5" s="3" t="s">
        <v>3</v>
      </c>
      <c r="B5" s="4"/>
      <c r="C5" s="4"/>
      <c r="D5" s="4" t="n">
        <f aca="false">INDEX(Inputs!$F$2:$F$42,MATCH(D$6,Inputs!$B$2:$B$42,0))</f>
        <v>2</v>
      </c>
      <c r="E5" s="4" t="n">
        <f aca="false">INDEX(Inputs!$F$2:$F$42,MATCH(E$6,Inputs!$B$2:$B$42,0))</f>
        <v>2</v>
      </c>
      <c r="F5" s="4" t="n">
        <f aca="false">INDEX(Inputs!$F$2:$F$42,MATCH(F$6,Inputs!$B$2:$B$42,0))</f>
        <v>3</v>
      </c>
      <c r="G5" s="4" t="n">
        <f aca="false">INDEX(Inputs!$F$2:$F$42,MATCH(G$6,Inputs!$B$2:$B$42,0))</f>
        <v>3</v>
      </c>
      <c r="H5" s="4" t="n">
        <f aca="false">INDEX(Inputs!$F$2:$F$42,MATCH(H$6,Inputs!$B$2:$B$42,0))</f>
        <v>2</v>
      </c>
      <c r="I5" s="4" t="n">
        <f aca="false">INDEX(Inputs!$F$2:$F$42,MATCH(I$6,Inputs!$B$2:$B$42,0))</f>
        <v>2</v>
      </c>
      <c r="J5" s="4" t="n">
        <f aca="false">INDEX(Inputs!$F$2:$F$42,MATCH(J$6,Inputs!$B$2:$B$42,0))</f>
        <v>2</v>
      </c>
      <c r="K5" s="4" t="n">
        <f aca="false">INDEX(Inputs!$F$2:$F$42,MATCH(K$6,Inputs!$B$2:$B$42,0))</f>
        <v>1</v>
      </c>
      <c r="L5" s="4" t="n">
        <f aca="false">INDEX(Inputs!$F$2:$F$42,MATCH(L$6,Inputs!$B$2:$B$42,0))</f>
        <v>2</v>
      </c>
      <c r="M5" s="4" t="n">
        <f aca="false">INDEX(Inputs!$F$2:$F$42,MATCH(M$6,Inputs!$B$2:$B$42,0))</f>
        <v>3</v>
      </c>
      <c r="N5" s="4" t="n">
        <f aca="false">INDEX(Inputs!$F$2:$F$42,MATCH(N$6,Inputs!$B$2:$B$42,0))</f>
        <v>2</v>
      </c>
      <c r="O5" s="4" t="n">
        <f aca="false">INDEX(Inputs!$F$2:$F$42,MATCH(O$6,Inputs!$B$2:$B$42,0))</f>
        <v>2</v>
      </c>
      <c r="P5" s="4" t="n">
        <f aca="false">INDEX(Inputs!$F$2:$F$42,MATCH(P$6,Inputs!$B$2:$B$42,0))</f>
        <v>2</v>
      </c>
      <c r="Q5" s="4" t="n">
        <f aca="false">INDEX(Inputs!$F$2:$F$42,MATCH(Q$6,Inputs!$B$2:$B$42,0))</f>
        <v>2</v>
      </c>
      <c r="R5" s="4" t="n">
        <f aca="false">INDEX(Inputs!$F$2:$F$42,MATCH(R$6,Inputs!$B$2:$B$42,0))</f>
        <v>2</v>
      </c>
      <c r="S5" s="4" t="n">
        <f aca="false">INDEX(Inputs!$F$2:$F$42,MATCH(S$6,Inputs!$B$2:$B$42,0))</f>
        <v>2</v>
      </c>
      <c r="T5" s="4" t="n">
        <f aca="false">INDEX(Inputs!$F$2:$F$42,MATCH(T$6,Inputs!$B$2:$B$42,0))</f>
        <v>2</v>
      </c>
      <c r="U5" s="4" t="n">
        <f aca="false">INDEX(Inputs!$F$2:$F$42,MATCH(U$6,Inputs!$B$2:$B$42,0))</f>
        <v>2</v>
      </c>
      <c r="V5" s="4" t="n">
        <f aca="false">INDEX(Inputs!$F$2:$F$42,MATCH(V$6,Inputs!$B$2:$B$42,0))</f>
        <v>2</v>
      </c>
      <c r="W5" s="4" t="n">
        <f aca="false">INDEX(Inputs!$F$2:$F$42,MATCH(W$6,Inputs!$B$2:$B$42,0))</f>
        <v>2</v>
      </c>
      <c r="X5" s="4" t="n">
        <f aca="false">INDEX(Inputs!$F$2:$F$42,MATCH(X$6,Inputs!$B$2:$B$42,0))</f>
        <v>2</v>
      </c>
      <c r="Y5" s="4" t="n">
        <f aca="false">INDEX(Inputs!$F$2:$F$42,MATCH(Y$6,Inputs!$B$2:$B$42,0))</f>
        <v>1</v>
      </c>
      <c r="Z5" s="4" t="n">
        <f aca="false">INDEX(Inputs!$F$2:$F$42,MATCH(Z$6,Inputs!$B$2:$B$42,0))</f>
        <v>1</v>
      </c>
      <c r="AA5" s="4" t="n">
        <f aca="false">INDEX(Inputs!$F$2:$F$42,MATCH(AA$6,Inputs!$B$2:$B$42,0))</f>
        <v>3</v>
      </c>
    </row>
    <row r="6" customFormat="false" ht="94.5" hidden="false" customHeight="true" outlineLevel="0" collapsed="false">
      <c r="A6" s="5" t="s">
        <v>4</v>
      </c>
      <c r="B6" s="5" t="s">
        <v>5</v>
      </c>
      <c r="C6" s="5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  <c r="W6" s="6" t="s">
        <v>26</v>
      </c>
      <c r="X6" s="6" t="s">
        <v>27</v>
      </c>
      <c r="Y6" s="6" t="s">
        <v>28</v>
      </c>
      <c r="Z6" s="6" t="s">
        <v>29</v>
      </c>
      <c r="AA6" s="6" t="s">
        <v>30</v>
      </c>
    </row>
    <row r="7" customFormat="false" ht="15" hidden="false" customHeight="false" outlineLevel="0" collapsed="false">
      <c r="A7" s="7" t="s">
        <v>7</v>
      </c>
      <c r="B7" s="4" t="n">
        <f aca="false">INDEX(Inputs!$E$2:$E$42,MATCH($A7,Inputs!$B$2:$B$42,0))</f>
        <v>3</v>
      </c>
      <c r="C7" s="4" t="n">
        <f aca="false">INDEX(Inputs!$F$2:$F$42,MATCH($A7,Inputs!$B$2:$B$42,0))</f>
        <v>2</v>
      </c>
      <c r="D7" s="8" t="str">
        <f aca="false">IF($A7=D$6,"-",MAX($B7*D$5,D$4*$C7))</f>
        <v>-</v>
      </c>
      <c r="E7" s="8" t="n">
        <f aca="false">IF($A7=E$6,"-",MAX($B7*E$5,E$4*$C7))</f>
        <v>6</v>
      </c>
      <c r="F7" s="8" t="n">
        <f aca="false">IF($A7=F$6,"-",MAX($B7*F$5,F$4*$C7))</f>
        <v>9</v>
      </c>
      <c r="G7" s="8" t="n">
        <f aca="false">IF($A7=G$6,"-",MAX($B7*G$5,G$4*$C7))</f>
        <v>9</v>
      </c>
      <c r="H7" s="8" t="n">
        <f aca="false">IF($A7=H$6,"-",MAX($B7*H$5,H$4*$C7))</f>
        <v>6</v>
      </c>
      <c r="I7" s="8" t="n">
        <f aca="false">IF($A7=I$6,"-",MAX($B7*I$5,I$4*$C7))</f>
        <v>6</v>
      </c>
      <c r="J7" s="8" t="n">
        <f aca="false">IF($A7=J$6,"-",MAX($B7*J$5,J$4*$C7))</f>
        <v>6</v>
      </c>
      <c r="K7" s="8" t="n">
        <f aca="false">IF($A7=K$6,"-",MAX($B7*K$5,K$4*$C7))</f>
        <v>3</v>
      </c>
      <c r="L7" s="8" t="n">
        <f aca="false">IF($A7=L$6,"-",MAX($B7*L$5,L$4*$C7))</f>
        <v>6</v>
      </c>
      <c r="M7" s="8" t="n">
        <f aca="false">IF($A7=M$6,"-",MAX($B7*M$5,M$4*$C7))</f>
        <v>9</v>
      </c>
      <c r="N7" s="8" t="n">
        <f aca="false">IF($A7=N$6,"-",MAX($B7*N$5,N$4*$C7))</f>
        <v>6</v>
      </c>
      <c r="O7" s="8" t="n">
        <f aca="false">IF($A7=O$6,"-",MAX($B7*O$5,O$4*$C7))</f>
        <v>6</v>
      </c>
      <c r="P7" s="8" t="n">
        <f aca="false">IF($A7=P$6,"-",MAX($B7*P$5,P$4*$C7))</f>
        <v>6</v>
      </c>
      <c r="Q7" s="8" t="n">
        <f aca="false">IF($A7=Q$6,"-",MAX($B7*Q$5,Q$4*$C7))</f>
        <v>6</v>
      </c>
      <c r="R7" s="8" t="n">
        <f aca="false">IF($A7=R$6,"-",MAX($B7*R$5,R$4*$C7))</f>
        <v>6</v>
      </c>
      <c r="S7" s="8" t="n">
        <f aca="false">IF($A7=S$6,"-",MAX($B7*S$5,S$4*$C7))</f>
        <v>6</v>
      </c>
      <c r="T7" s="8" t="n">
        <f aca="false">IF($A7=T$6,"-",MAX($B7*T$5,T$4*$C7))</f>
        <v>6</v>
      </c>
      <c r="U7" s="8" t="n">
        <f aca="false">IF($A7=U$6,"-",MAX($B7*U$5,U$4*$C7))</f>
        <v>6</v>
      </c>
      <c r="V7" s="8" t="n">
        <f aca="false">IF($A7=V$6,"-",MAX($B7*V$5,V$4*$C7))</f>
        <v>6</v>
      </c>
      <c r="W7" s="8" t="n">
        <f aca="false">IF($A7=W$6,"-",MAX($B7*W$5,W$4*$C7))</f>
        <v>6</v>
      </c>
      <c r="X7" s="8" t="n">
        <f aca="false">IF($A7=X$6,"-",MAX($B7*X$5,X$4*$C7))</f>
        <v>6</v>
      </c>
      <c r="Y7" s="8" t="n">
        <f aca="false">IF($A7=Y$6,"-",MAX($B7*Y$5,Y$4*$C7))</f>
        <v>3</v>
      </c>
      <c r="Z7" s="8" t="n">
        <f aca="false">IF($A7=Z$6,"-",MAX($B7*Z$5,Z$4*$C7))</f>
        <v>3</v>
      </c>
      <c r="AA7" s="8" t="n">
        <f aca="false">IF($A7=AA$6,"-",MAX($B7*AA$5,AA$4*$C7))</f>
        <v>9</v>
      </c>
    </row>
    <row r="8" customFormat="false" ht="15" hidden="false" customHeight="false" outlineLevel="0" collapsed="false">
      <c r="A8" s="7" t="s">
        <v>8</v>
      </c>
      <c r="B8" s="4" t="n">
        <f aca="false">INDEX(Inputs!$E$2:$E$42,MATCH($A8,Inputs!$B$2:$B$42,0))</f>
        <v>3</v>
      </c>
      <c r="C8" s="4" t="n">
        <f aca="false">INDEX(Inputs!$F$2:$F$42,MATCH($A8,Inputs!$B$2:$B$42,0))</f>
        <v>2</v>
      </c>
      <c r="D8" s="8" t="n">
        <f aca="false">IF($A8=D$6,"-",MAX($B8*D$5,D$4*$C8))</f>
        <v>6</v>
      </c>
      <c r="E8" s="8" t="str">
        <f aca="false">IF($A8=E$6,"-",MAX($B8*E$5,E$4*$C8))</f>
        <v>-</v>
      </c>
      <c r="F8" s="8" t="n">
        <f aca="false">IF($A8=F$6,"-",MAX($B8*F$5,F$4*$C8))</f>
        <v>9</v>
      </c>
      <c r="G8" s="8" t="n">
        <f aca="false">IF($A8=G$6,"-",MAX($B8*G$5,G$4*$C8))</f>
        <v>9</v>
      </c>
      <c r="H8" s="8" t="n">
        <f aca="false">IF($A8=H$6,"-",MAX($B8*H$5,H$4*$C8))</f>
        <v>6</v>
      </c>
      <c r="I8" s="8" t="n">
        <f aca="false">IF($A8=I$6,"-",MAX($B8*I$5,I$4*$C8))</f>
        <v>6</v>
      </c>
      <c r="J8" s="8" t="n">
        <f aca="false">IF($A8=J$6,"-",MAX($B8*J$5,J$4*$C8))</f>
        <v>6</v>
      </c>
      <c r="K8" s="8" t="n">
        <f aca="false">IF($A8=K$6,"-",MAX($B8*K$5,K$4*$C8))</f>
        <v>3</v>
      </c>
      <c r="L8" s="8" t="n">
        <f aca="false">IF($A8=L$6,"-",MAX($B8*L$5,L$4*$C8))</f>
        <v>6</v>
      </c>
      <c r="M8" s="8" t="n">
        <f aca="false">IF($A8=M$6,"-",MAX($B8*M$5,M$4*$C8))</f>
        <v>9</v>
      </c>
      <c r="N8" s="8" t="n">
        <f aca="false">IF($A8=N$6,"-",MAX($B8*N$5,N$4*$C8))</f>
        <v>6</v>
      </c>
      <c r="O8" s="8" t="n">
        <f aca="false">IF($A8=O$6,"-",MAX($B8*O$5,O$4*$C8))</f>
        <v>6</v>
      </c>
      <c r="P8" s="8" t="n">
        <f aca="false">IF($A8=P$6,"-",MAX($B8*P$5,P$4*$C8))</f>
        <v>6</v>
      </c>
      <c r="Q8" s="8" t="n">
        <f aca="false">IF($A8=Q$6,"-",MAX($B8*Q$5,Q$4*$C8))</f>
        <v>6</v>
      </c>
      <c r="R8" s="8" t="n">
        <f aca="false">IF($A8=R$6,"-",MAX($B8*R$5,R$4*$C8))</f>
        <v>6</v>
      </c>
      <c r="S8" s="8" t="n">
        <f aca="false">IF($A8=S$6,"-",MAX($B8*S$5,S$4*$C8))</f>
        <v>6</v>
      </c>
      <c r="T8" s="8" t="n">
        <f aca="false">IF($A8=T$6,"-",MAX($B8*T$5,T$4*$C8))</f>
        <v>6</v>
      </c>
      <c r="U8" s="8" t="n">
        <f aca="false">IF($A8=U$6,"-",MAX($B8*U$5,U$4*$C8))</f>
        <v>6</v>
      </c>
      <c r="V8" s="8" t="n">
        <f aca="false">IF($A8=V$6,"-",MAX($B8*V$5,V$4*$C8))</f>
        <v>6</v>
      </c>
      <c r="W8" s="8" t="n">
        <f aca="false">IF($A8=W$6,"-",MAX($B8*W$5,W$4*$C8))</f>
        <v>6</v>
      </c>
      <c r="X8" s="8" t="n">
        <f aca="false">IF($A8=X$6,"-",MAX($B8*X$5,X$4*$C8))</f>
        <v>6</v>
      </c>
      <c r="Y8" s="8" t="n">
        <f aca="false">IF($A8=Y$6,"-",MAX($B8*Y$5,Y$4*$C8))</f>
        <v>3</v>
      </c>
      <c r="Z8" s="8" t="n">
        <f aca="false">IF($A8=Z$6,"-",MAX($B8*Z$5,Z$4*$C8))</f>
        <v>3</v>
      </c>
      <c r="AA8" s="8" t="n">
        <f aca="false">IF($A8=AA$6,"-",MAX($B8*AA$5,AA$4*$C8))</f>
        <v>9</v>
      </c>
    </row>
    <row r="9" customFormat="false" ht="15" hidden="false" customHeight="false" outlineLevel="0" collapsed="false">
      <c r="A9" s="7" t="s">
        <v>9</v>
      </c>
      <c r="B9" s="4" t="n">
        <f aca="false">INDEX(Inputs!$E$2:$E$42,MATCH($A9,Inputs!$B$2:$B$42,0))</f>
        <v>3</v>
      </c>
      <c r="C9" s="4" t="n">
        <f aca="false">INDEX(Inputs!$F$2:$F$42,MATCH($A9,Inputs!$B$2:$B$42,0))</f>
        <v>3</v>
      </c>
      <c r="D9" s="8" t="n">
        <f aca="false">IF($A9=D$6,"-",MAX($B9*D$5,D$4*$C9))</f>
        <v>9</v>
      </c>
      <c r="E9" s="8" t="n">
        <f aca="false">IF($A9=E$6,"-",MAX($B9*E$5,E$4*$C9))</f>
        <v>9</v>
      </c>
      <c r="F9" s="8" t="str">
        <f aca="false">IF($A9=F$6,"-",MAX($B9*F$5,F$4*$C9))</f>
        <v>-</v>
      </c>
      <c r="G9" s="8" t="n">
        <f aca="false">IF($A9=G$6,"-",MAX($B9*G$5,G$4*$C9))</f>
        <v>9</v>
      </c>
      <c r="H9" s="8" t="n">
        <f aca="false">IF($A9=H$6,"-",MAX($B9*H$5,H$4*$C9))</f>
        <v>6</v>
      </c>
      <c r="I9" s="8" t="n">
        <f aca="false">IF($A9=I$6,"-",MAX($B9*I$5,I$4*$C9))</f>
        <v>6</v>
      </c>
      <c r="J9" s="8" t="n">
        <f aca="false">IF($A9=J$6,"-",MAX($B9*J$5,J$4*$C9))</f>
        <v>9</v>
      </c>
      <c r="K9" s="8" t="n">
        <f aca="false">IF($A9=K$6,"-",MAX($B9*K$5,K$4*$C9))</f>
        <v>3</v>
      </c>
      <c r="L9" s="8" t="n">
        <f aca="false">IF($A9=L$6,"-",MAX($B9*L$5,L$4*$C9))</f>
        <v>6</v>
      </c>
      <c r="M9" s="8" t="n">
        <f aca="false">IF($A9=M$6,"-",MAX($B9*M$5,M$4*$C9))</f>
        <v>9</v>
      </c>
      <c r="N9" s="8" t="n">
        <f aca="false">IF($A9=N$6,"-",MAX($B9*N$5,N$4*$C9))</f>
        <v>6</v>
      </c>
      <c r="O9" s="8" t="n">
        <f aca="false">IF($A9=O$6,"-",MAX($B9*O$5,O$4*$C9))</f>
        <v>6</v>
      </c>
      <c r="P9" s="8" t="n">
        <f aca="false">IF($A9=P$6,"-",MAX($B9*P$5,P$4*$C9))</f>
        <v>6</v>
      </c>
      <c r="Q9" s="8" t="n">
        <f aca="false">IF($A9=Q$6,"-",MAX($B9*Q$5,Q$4*$C9))</f>
        <v>9</v>
      </c>
      <c r="R9" s="8" t="n">
        <f aca="false">IF($A9=R$6,"-",MAX($B9*R$5,R$4*$C9))</f>
        <v>9</v>
      </c>
      <c r="S9" s="8" t="n">
        <f aca="false">IF($A9=S$6,"-",MAX($B9*S$5,S$4*$C9))</f>
        <v>6</v>
      </c>
      <c r="T9" s="8" t="n">
        <f aca="false">IF($A9=T$6,"-",MAX($B9*T$5,T$4*$C9))</f>
        <v>9</v>
      </c>
      <c r="U9" s="8" t="n">
        <f aca="false">IF($A9=U$6,"-",MAX($B9*U$5,U$4*$C9))</f>
        <v>9</v>
      </c>
      <c r="V9" s="8" t="n">
        <f aca="false">IF($A9=V$6,"-",MAX($B9*V$5,V$4*$C9))</f>
        <v>9</v>
      </c>
      <c r="W9" s="8" t="n">
        <f aca="false">IF($A9=W$6,"-",MAX($B9*W$5,W$4*$C9))</f>
        <v>9</v>
      </c>
      <c r="X9" s="8" t="n">
        <f aca="false">IF($A9=X$6,"-",MAX($B9*X$5,X$4*$C9))</f>
        <v>6</v>
      </c>
      <c r="Y9" s="8" t="n">
        <f aca="false">IF($A9=Y$6,"-",MAX($B9*Y$5,Y$4*$C9))</f>
        <v>3</v>
      </c>
      <c r="Z9" s="8" t="n">
        <f aca="false">IF($A9=Z$6,"-",MAX($B9*Z$5,Z$4*$C9))</f>
        <v>3</v>
      </c>
      <c r="AA9" s="8" t="n">
        <f aca="false">IF($A9=AA$6,"-",MAX($B9*AA$5,AA$4*$C9))</f>
        <v>9</v>
      </c>
    </row>
    <row r="10" customFormat="false" ht="15" hidden="false" customHeight="false" outlineLevel="0" collapsed="false">
      <c r="A10" s="7" t="s">
        <v>10</v>
      </c>
      <c r="B10" s="4" t="n">
        <f aca="false">INDEX(Inputs!$E$2:$E$42,MATCH($A10,Inputs!$B$2:$B$42,0))</f>
        <v>2</v>
      </c>
      <c r="C10" s="4" t="n">
        <f aca="false">INDEX(Inputs!$F$2:$F$42,MATCH($A10,Inputs!$B$2:$B$42,0))</f>
        <v>3</v>
      </c>
      <c r="D10" s="8" t="n">
        <f aca="false">IF($A10=D$6,"-",MAX($B10*D$5,D$4*$C10))</f>
        <v>9</v>
      </c>
      <c r="E10" s="8" t="n">
        <f aca="false">IF($A10=E$6,"-",MAX($B10*E$5,E$4*$C10))</f>
        <v>9</v>
      </c>
      <c r="F10" s="8" t="n">
        <f aca="false">IF($A10=F$6,"-",MAX($B10*F$5,F$4*$C10))</f>
        <v>9</v>
      </c>
      <c r="G10" s="8" t="str">
        <f aca="false">IF($A10=G$6,"-",MAX($B10*G$5,G$4*$C10))</f>
        <v>-</v>
      </c>
      <c r="H10" s="8" t="n">
        <f aca="false">IF($A10=H$6,"-",MAX($B10*H$5,H$4*$C10))</f>
        <v>4</v>
      </c>
      <c r="I10" s="8" t="n">
        <f aca="false">IF($A10=I$6,"-",MAX($B10*I$5,I$4*$C10))</f>
        <v>4</v>
      </c>
      <c r="J10" s="8" t="n">
        <f aca="false">IF($A10=J$6,"-",MAX($B10*J$5,J$4*$C10))</f>
        <v>9</v>
      </c>
      <c r="K10" s="8" t="n">
        <f aca="false">IF($A10=K$6,"-",MAX($B10*K$5,K$4*$C10))</f>
        <v>3</v>
      </c>
      <c r="L10" s="8" t="n">
        <f aca="false">IF($A10=L$6,"-",MAX($B10*L$5,L$4*$C10))</f>
        <v>6</v>
      </c>
      <c r="M10" s="8" t="n">
        <f aca="false">IF($A10=M$6,"-",MAX($B10*M$5,M$4*$C10))</f>
        <v>9</v>
      </c>
      <c r="N10" s="8" t="n">
        <f aca="false">IF($A10=N$6,"-",MAX($B10*N$5,N$4*$C10))</f>
        <v>4</v>
      </c>
      <c r="O10" s="8" t="n">
        <f aca="false">IF($A10=O$6,"-",MAX($B10*O$5,O$4*$C10))</f>
        <v>4</v>
      </c>
      <c r="P10" s="8" t="n">
        <f aca="false">IF($A10=P$6,"-",MAX($B10*P$5,P$4*$C10))</f>
        <v>6</v>
      </c>
      <c r="Q10" s="8" t="n">
        <f aca="false">IF($A10=Q$6,"-",MAX($B10*Q$5,Q$4*$C10))</f>
        <v>9</v>
      </c>
      <c r="R10" s="8" t="n">
        <f aca="false">IF($A10=R$6,"-",MAX($B10*R$5,R$4*$C10))</f>
        <v>9</v>
      </c>
      <c r="S10" s="8" t="n">
        <f aca="false">IF($A10=S$6,"-",MAX($B10*S$5,S$4*$C10))</f>
        <v>4</v>
      </c>
      <c r="T10" s="8" t="n">
        <f aca="false">IF($A10=T$6,"-",MAX($B10*T$5,T$4*$C10))</f>
        <v>9</v>
      </c>
      <c r="U10" s="8" t="n">
        <f aca="false">IF($A10=U$6,"-",MAX($B10*U$5,U$4*$C10))</f>
        <v>9</v>
      </c>
      <c r="V10" s="8" t="n">
        <f aca="false">IF($A10=V$6,"-",MAX($B10*V$5,V$4*$C10))</f>
        <v>9</v>
      </c>
      <c r="W10" s="8" t="n">
        <f aca="false">IF($A10=W$6,"-",MAX($B10*W$5,W$4*$C10))</f>
        <v>9</v>
      </c>
      <c r="X10" s="8" t="n">
        <f aca="false">IF($A10=X$6,"-",MAX($B10*X$5,X$4*$C10))</f>
        <v>4</v>
      </c>
      <c r="Y10" s="8" t="n">
        <f aca="false">IF($A10=Y$6,"-",MAX($B10*Y$5,Y$4*$C10))</f>
        <v>3</v>
      </c>
      <c r="Z10" s="8" t="n">
        <f aca="false">IF($A10=Z$6,"-",MAX($B10*Z$5,Z$4*$C10))</f>
        <v>3</v>
      </c>
      <c r="AA10" s="8" t="n">
        <f aca="false">IF($A10=AA$6,"-",MAX($B10*AA$5,AA$4*$C10))</f>
        <v>6</v>
      </c>
    </row>
    <row r="11" customFormat="false" ht="15" hidden="false" customHeight="false" outlineLevel="0" collapsed="false">
      <c r="A11" s="7" t="s">
        <v>11</v>
      </c>
      <c r="B11" s="4" t="n">
        <f aca="false">INDEX(Inputs!$E$2:$E$42,MATCH($A11,Inputs!$B$2:$B$42,0))</f>
        <v>1</v>
      </c>
      <c r="C11" s="4" t="n">
        <f aca="false">INDEX(Inputs!$F$2:$F$42,MATCH($A11,Inputs!$B$2:$B$42,0))</f>
        <v>2</v>
      </c>
      <c r="D11" s="8" t="n">
        <f aca="false">IF($A11=D$6,"-",MAX($B11*D$5,D$4*$C11))</f>
        <v>6</v>
      </c>
      <c r="E11" s="8" t="n">
        <f aca="false">IF($A11=E$6,"-",MAX($B11*E$5,E$4*$C11))</f>
        <v>6</v>
      </c>
      <c r="F11" s="8" t="n">
        <f aca="false">IF($A11=F$6,"-",MAX($B11*F$5,F$4*$C11))</f>
        <v>6</v>
      </c>
      <c r="G11" s="8" t="n">
        <f aca="false">IF($A11=G$6,"-",MAX($B11*G$5,G$4*$C11))</f>
        <v>4</v>
      </c>
      <c r="H11" s="8" t="str">
        <f aca="false">IF($A11=H$6,"-",MAX($B11*H$5,H$4*$C11))</f>
        <v>-</v>
      </c>
      <c r="I11" s="8" t="n">
        <f aca="false">IF($A11=I$6,"-",MAX($B11*I$5,I$4*$C11))</f>
        <v>2</v>
      </c>
      <c r="J11" s="8" t="n">
        <f aca="false">IF($A11=J$6,"-",MAX($B11*J$5,J$4*$C11))</f>
        <v>6</v>
      </c>
      <c r="K11" s="8" t="n">
        <f aca="false">IF($A11=K$6,"-",MAX($B11*K$5,K$4*$C11))</f>
        <v>2</v>
      </c>
      <c r="L11" s="8" t="n">
        <f aca="false">IF($A11=L$6,"-",MAX($B11*L$5,L$4*$C11))</f>
        <v>4</v>
      </c>
      <c r="M11" s="8" t="n">
        <f aca="false">IF($A11=M$6,"-",MAX($B11*M$5,M$4*$C11))</f>
        <v>6</v>
      </c>
      <c r="N11" s="8" t="n">
        <f aca="false">IF($A11=N$6,"-",MAX($B11*N$5,N$4*$C11))</f>
        <v>2</v>
      </c>
      <c r="O11" s="8" t="n">
        <f aca="false">IF($A11=O$6,"-",MAX($B11*O$5,O$4*$C11))</f>
        <v>2</v>
      </c>
      <c r="P11" s="8" t="n">
        <f aca="false">IF($A11=P$6,"-",MAX($B11*P$5,P$4*$C11))</f>
        <v>4</v>
      </c>
      <c r="Q11" s="8" t="n">
        <f aca="false">IF($A11=Q$6,"-",MAX($B11*Q$5,Q$4*$C11))</f>
        <v>6</v>
      </c>
      <c r="R11" s="8" t="n">
        <f aca="false">IF($A11=R$6,"-",MAX($B11*R$5,R$4*$C11))</f>
        <v>6</v>
      </c>
      <c r="S11" s="8" t="n">
        <f aca="false">IF($A11=S$6,"-",MAX($B11*S$5,S$4*$C11))</f>
        <v>2</v>
      </c>
      <c r="T11" s="8" t="n">
        <f aca="false">IF($A11=T$6,"-",MAX($B11*T$5,T$4*$C11))</f>
        <v>6</v>
      </c>
      <c r="U11" s="8" t="n">
        <f aca="false">IF($A11=U$6,"-",MAX($B11*U$5,U$4*$C11))</f>
        <v>6</v>
      </c>
      <c r="V11" s="8" t="n">
        <f aca="false">IF($A11=V$6,"-",MAX($B11*V$5,V$4*$C11))</f>
        <v>6</v>
      </c>
      <c r="W11" s="8" t="n">
        <f aca="false">IF($A11=W$6,"-",MAX($B11*W$5,W$4*$C11))</f>
        <v>6</v>
      </c>
      <c r="X11" s="8" t="n">
        <f aca="false">IF($A11=X$6,"-",MAX($B11*X$5,X$4*$C11))</f>
        <v>2</v>
      </c>
      <c r="Y11" s="8" t="n">
        <f aca="false">IF($A11=Y$6,"-",MAX($B11*Y$5,Y$4*$C11))</f>
        <v>2</v>
      </c>
      <c r="Z11" s="8" t="n">
        <f aca="false">IF($A11=Z$6,"-",MAX($B11*Z$5,Z$4*$C11))</f>
        <v>2</v>
      </c>
      <c r="AA11" s="8" t="n">
        <f aca="false">IF($A11=AA$6,"-",MAX($B11*AA$5,AA$4*$C11))</f>
        <v>3</v>
      </c>
    </row>
    <row r="12" customFormat="false" ht="15" hidden="false" customHeight="false" outlineLevel="0" collapsed="false">
      <c r="A12" s="7" t="s">
        <v>12</v>
      </c>
      <c r="B12" s="4" t="n">
        <f aca="false">INDEX(Inputs!$E$2:$E$42,MATCH($A12,Inputs!$B$2:$B$42,0))</f>
        <v>1</v>
      </c>
      <c r="C12" s="4" t="n">
        <f aca="false">INDEX(Inputs!$F$2:$F$42,MATCH($A12,Inputs!$B$2:$B$42,0))</f>
        <v>2</v>
      </c>
      <c r="D12" s="8" t="n">
        <f aca="false">IF($A12=D$6,"-",MAX($B12*D$5,D$4*$C12))</f>
        <v>6</v>
      </c>
      <c r="E12" s="8" t="n">
        <f aca="false">IF($A12=E$6,"-",MAX($B12*E$5,E$4*$C12))</f>
        <v>6</v>
      </c>
      <c r="F12" s="8" t="n">
        <f aca="false">IF($A12=F$6,"-",MAX($B12*F$5,F$4*$C12))</f>
        <v>6</v>
      </c>
      <c r="G12" s="8" t="n">
        <f aca="false">IF($A12=G$6,"-",MAX($B12*G$5,G$4*$C12))</f>
        <v>4</v>
      </c>
      <c r="H12" s="8" t="n">
        <f aca="false">IF($A12=H$6,"-",MAX($B12*H$5,H$4*$C12))</f>
        <v>2</v>
      </c>
      <c r="I12" s="8" t="str">
        <f aca="false">IF($A12=I$6,"-",MAX($B12*I$5,I$4*$C12))</f>
        <v>-</v>
      </c>
      <c r="J12" s="8" t="n">
        <f aca="false">IF($A12=J$6,"-",MAX($B12*J$5,J$4*$C12))</f>
        <v>6</v>
      </c>
      <c r="K12" s="8" t="n">
        <f aca="false">IF($A12=K$6,"-",MAX($B12*K$5,K$4*$C12))</f>
        <v>2</v>
      </c>
      <c r="L12" s="8" t="n">
        <f aca="false">IF($A12=L$6,"-",MAX($B12*L$5,L$4*$C12))</f>
        <v>4</v>
      </c>
      <c r="M12" s="8" t="n">
        <f aca="false">IF($A12=M$6,"-",MAX($B12*M$5,M$4*$C12))</f>
        <v>6</v>
      </c>
      <c r="N12" s="8" t="n">
        <f aca="false">IF($A12=N$6,"-",MAX($B12*N$5,N$4*$C12))</f>
        <v>2</v>
      </c>
      <c r="O12" s="8" t="n">
        <f aca="false">IF($A12=O$6,"-",MAX($B12*O$5,O$4*$C12))</f>
        <v>2</v>
      </c>
      <c r="P12" s="8" t="n">
        <f aca="false">IF($A12=P$6,"-",MAX($B12*P$5,P$4*$C12))</f>
        <v>4</v>
      </c>
      <c r="Q12" s="8" t="n">
        <f aca="false">IF($A12=Q$6,"-",MAX($B12*Q$5,Q$4*$C12))</f>
        <v>6</v>
      </c>
      <c r="R12" s="8" t="n">
        <f aca="false">IF($A12=R$6,"-",MAX($B12*R$5,R$4*$C12))</f>
        <v>6</v>
      </c>
      <c r="S12" s="8" t="n">
        <f aca="false">IF($A12=S$6,"-",MAX($B12*S$5,S$4*$C12))</f>
        <v>2</v>
      </c>
      <c r="T12" s="8" t="n">
        <f aca="false">IF($A12=T$6,"-",MAX($B12*T$5,T$4*$C12))</f>
        <v>6</v>
      </c>
      <c r="U12" s="8" t="n">
        <f aca="false">IF($A12=U$6,"-",MAX($B12*U$5,U$4*$C12))</f>
        <v>6</v>
      </c>
      <c r="V12" s="8" t="n">
        <f aca="false">IF($A12=V$6,"-",MAX($B12*V$5,V$4*$C12))</f>
        <v>6</v>
      </c>
      <c r="W12" s="8" t="n">
        <f aca="false">IF($A12=W$6,"-",MAX($B12*W$5,W$4*$C12))</f>
        <v>6</v>
      </c>
      <c r="X12" s="8" t="n">
        <f aca="false">IF($A12=X$6,"-",MAX($B12*X$5,X$4*$C12))</f>
        <v>2</v>
      </c>
      <c r="Y12" s="8" t="n">
        <f aca="false">IF($A12=Y$6,"-",MAX($B12*Y$5,Y$4*$C12))</f>
        <v>2</v>
      </c>
      <c r="Z12" s="8" t="n">
        <f aca="false">IF($A12=Z$6,"-",MAX($B12*Z$5,Z$4*$C12))</f>
        <v>2</v>
      </c>
      <c r="AA12" s="8" t="n">
        <f aca="false">IF($A12=AA$6,"-",MAX($B12*AA$5,AA$4*$C12))</f>
        <v>3</v>
      </c>
    </row>
    <row r="13" customFormat="false" ht="15" hidden="false" customHeight="false" outlineLevel="0" collapsed="false">
      <c r="A13" s="7" t="s">
        <v>13</v>
      </c>
      <c r="B13" s="4" t="n">
        <f aca="false">INDEX(Inputs!$E$2:$E$42,MATCH($A13,Inputs!$B$2:$B$42,0))</f>
        <v>3</v>
      </c>
      <c r="C13" s="4" t="n">
        <f aca="false">INDEX(Inputs!$F$2:$F$42,MATCH($A13,Inputs!$B$2:$B$42,0))</f>
        <v>2</v>
      </c>
      <c r="D13" s="8" t="n">
        <f aca="false">IF($A13=D$6,"-",MAX($B13*D$5,D$4*$C13))</f>
        <v>6</v>
      </c>
      <c r="E13" s="8" t="n">
        <f aca="false">IF($A13=E$6,"-",MAX($B13*E$5,E$4*$C13))</f>
        <v>6</v>
      </c>
      <c r="F13" s="8" t="n">
        <f aca="false">IF($A13=F$6,"-",MAX($B13*F$5,F$4*$C13))</f>
        <v>9</v>
      </c>
      <c r="G13" s="8" t="n">
        <f aca="false">IF($A13=G$6,"-",MAX($B13*G$5,G$4*$C13))</f>
        <v>9</v>
      </c>
      <c r="H13" s="8" t="n">
        <f aca="false">IF($A13=H$6,"-",MAX($B13*H$5,H$4*$C13))</f>
        <v>6</v>
      </c>
      <c r="I13" s="8" t="n">
        <f aca="false">IF($A13=I$6,"-",MAX($B13*I$5,I$4*$C13))</f>
        <v>6</v>
      </c>
      <c r="J13" s="8" t="str">
        <f aca="false">IF($A13=J$6,"-",MAX($B13*J$5,J$4*$C13))</f>
        <v>-</v>
      </c>
      <c r="K13" s="8" t="n">
        <f aca="false">IF($A13=K$6,"-",MAX($B13*K$5,K$4*$C13))</f>
        <v>3</v>
      </c>
      <c r="L13" s="8" t="n">
        <f aca="false">IF($A13=L$6,"-",MAX($B13*L$5,L$4*$C13))</f>
        <v>6</v>
      </c>
      <c r="M13" s="8" t="n">
        <f aca="false">IF($A13=M$6,"-",MAX($B13*M$5,M$4*$C13))</f>
        <v>9</v>
      </c>
      <c r="N13" s="8" t="n">
        <f aca="false">IF($A13=N$6,"-",MAX($B13*N$5,N$4*$C13))</f>
        <v>6</v>
      </c>
      <c r="O13" s="8" t="n">
        <f aca="false">IF($A13=O$6,"-",MAX($B13*O$5,O$4*$C13))</f>
        <v>6</v>
      </c>
      <c r="P13" s="8" t="n">
        <f aca="false">IF($A13=P$6,"-",MAX($B13*P$5,P$4*$C13))</f>
        <v>6</v>
      </c>
      <c r="Q13" s="8" t="n">
        <f aca="false">IF($A13=Q$6,"-",MAX($B13*Q$5,Q$4*$C13))</f>
        <v>6</v>
      </c>
      <c r="R13" s="8" t="n">
        <f aca="false">IF($A13=R$6,"-",MAX($B13*R$5,R$4*$C13))</f>
        <v>6</v>
      </c>
      <c r="S13" s="8" t="n">
        <f aca="false">IF($A13=S$6,"-",MAX($B13*S$5,S$4*$C13))</f>
        <v>6</v>
      </c>
      <c r="T13" s="8" t="n">
        <f aca="false">IF($A13=T$6,"-",MAX($B13*T$5,T$4*$C13))</f>
        <v>6</v>
      </c>
      <c r="U13" s="8" t="n">
        <f aca="false">IF($A13=U$6,"-",MAX($B13*U$5,U$4*$C13))</f>
        <v>6</v>
      </c>
      <c r="V13" s="8" t="n">
        <f aca="false">IF($A13=V$6,"-",MAX($B13*V$5,V$4*$C13))</f>
        <v>6</v>
      </c>
      <c r="W13" s="8" t="n">
        <f aca="false">IF($A13=W$6,"-",MAX($B13*W$5,W$4*$C13))</f>
        <v>6</v>
      </c>
      <c r="X13" s="8" t="n">
        <f aca="false">IF($A13=X$6,"-",MAX($B13*X$5,X$4*$C13))</f>
        <v>6</v>
      </c>
      <c r="Y13" s="8" t="n">
        <f aca="false">IF($A13=Y$6,"-",MAX($B13*Y$5,Y$4*$C13))</f>
        <v>3</v>
      </c>
      <c r="Z13" s="8" t="n">
        <f aca="false">IF($A13=Z$6,"-",MAX($B13*Z$5,Z$4*$C13))</f>
        <v>3</v>
      </c>
      <c r="AA13" s="8" t="n">
        <f aca="false">IF($A13=AA$6,"-",MAX($B13*AA$5,AA$4*$C13))</f>
        <v>9</v>
      </c>
    </row>
    <row r="14" customFormat="false" ht="15" hidden="false" customHeight="false" outlineLevel="0" collapsed="false">
      <c r="A14" s="7" t="s">
        <v>14</v>
      </c>
      <c r="B14" s="4" t="n">
        <f aca="false">INDEX(Inputs!$E$2:$E$42,MATCH($A14,Inputs!$B$2:$B$42,0))</f>
        <v>1</v>
      </c>
      <c r="C14" s="4" t="n">
        <f aca="false">INDEX(Inputs!$F$2:$F$42,MATCH($A14,Inputs!$B$2:$B$42,0))</f>
        <v>1</v>
      </c>
      <c r="D14" s="8" t="n">
        <f aca="false">IF($A14=D$6,"-",MAX($B14*D$5,D$4*$C14))</f>
        <v>3</v>
      </c>
      <c r="E14" s="8" t="n">
        <f aca="false">IF($A14=E$6,"-",MAX($B14*E$5,E$4*$C14))</f>
        <v>3</v>
      </c>
      <c r="F14" s="8" t="n">
        <f aca="false">IF($A14=F$6,"-",MAX($B14*F$5,F$4*$C14))</f>
        <v>3</v>
      </c>
      <c r="G14" s="8" t="n">
        <f aca="false">IF($A14=G$6,"-",MAX($B14*G$5,G$4*$C14))</f>
        <v>3</v>
      </c>
      <c r="H14" s="8" t="n">
        <f aca="false">IF($A14=H$6,"-",MAX($B14*H$5,H$4*$C14))</f>
        <v>2</v>
      </c>
      <c r="I14" s="8" t="n">
        <f aca="false">IF($A14=I$6,"-",MAX($B14*I$5,I$4*$C14))</f>
        <v>2</v>
      </c>
      <c r="J14" s="8" t="n">
        <f aca="false">IF($A14=J$6,"-",MAX($B14*J$5,J$4*$C14))</f>
        <v>3</v>
      </c>
      <c r="K14" s="8" t="str">
        <f aca="false">IF($A14=K$6,"-",MAX($B14*K$5,K$4*$C14))</f>
        <v>-</v>
      </c>
      <c r="L14" s="8" t="n">
        <f aca="false">IF($A14=L$6,"-",MAX($B14*L$5,L$4*$C14))</f>
        <v>2</v>
      </c>
      <c r="M14" s="8" t="n">
        <f aca="false">IF($A14=M$6,"-",MAX($B14*M$5,M$4*$C14))</f>
        <v>3</v>
      </c>
      <c r="N14" s="8" t="n">
        <f aca="false">IF($A14=N$6,"-",MAX($B14*N$5,N$4*$C14))</f>
        <v>2</v>
      </c>
      <c r="O14" s="8" t="n">
        <f aca="false">IF($A14=O$6,"-",MAX($B14*O$5,O$4*$C14))</f>
        <v>2</v>
      </c>
      <c r="P14" s="8" t="n">
        <f aca="false">IF($A14=P$6,"-",MAX($B14*P$5,P$4*$C14))</f>
        <v>2</v>
      </c>
      <c r="Q14" s="8" t="n">
        <f aca="false">IF($A14=Q$6,"-",MAX($B14*Q$5,Q$4*$C14))</f>
        <v>3</v>
      </c>
      <c r="R14" s="8" t="n">
        <f aca="false">IF($A14=R$6,"-",MAX($B14*R$5,R$4*$C14))</f>
        <v>3</v>
      </c>
      <c r="S14" s="8" t="n">
        <f aca="false">IF($A14=S$6,"-",MAX($B14*S$5,S$4*$C14))</f>
        <v>2</v>
      </c>
      <c r="T14" s="8" t="n">
        <f aca="false">IF($A14=T$6,"-",MAX($B14*T$5,T$4*$C14))</f>
        <v>3</v>
      </c>
      <c r="U14" s="8" t="n">
        <f aca="false">IF($A14=U$6,"-",MAX($B14*U$5,U$4*$C14))</f>
        <v>3</v>
      </c>
      <c r="V14" s="8" t="n">
        <f aca="false">IF($A14=V$6,"-",MAX($B14*V$5,V$4*$C14))</f>
        <v>3</v>
      </c>
      <c r="W14" s="8" t="n">
        <f aca="false">IF($A14=W$6,"-",MAX($B14*W$5,W$4*$C14))</f>
        <v>3</v>
      </c>
      <c r="X14" s="8" t="n">
        <f aca="false">IF($A14=X$6,"-",MAX($B14*X$5,X$4*$C14))</f>
        <v>2</v>
      </c>
      <c r="Y14" s="8" t="n">
        <f aca="false">IF($A14=Y$6,"-",MAX($B14*Y$5,Y$4*$C14))</f>
        <v>1</v>
      </c>
      <c r="Z14" s="8" t="n">
        <f aca="false">IF($A14=Z$6,"-",MAX($B14*Z$5,Z$4*$C14))</f>
        <v>1</v>
      </c>
      <c r="AA14" s="8" t="n">
        <f aca="false">IF($A14=AA$6,"-",MAX($B14*AA$5,AA$4*$C14))</f>
        <v>3</v>
      </c>
    </row>
    <row r="15" customFormat="false" ht="15" hidden="false" customHeight="false" outlineLevel="0" collapsed="false">
      <c r="A15" s="7" t="s">
        <v>15</v>
      </c>
      <c r="B15" s="4" t="n">
        <f aca="false">INDEX(Inputs!$E$2:$E$42,MATCH($A15,Inputs!$B$2:$B$42,0))</f>
        <v>2</v>
      </c>
      <c r="C15" s="4" t="n">
        <f aca="false">INDEX(Inputs!$F$2:$F$42,MATCH($A15,Inputs!$B$2:$B$42,0))</f>
        <v>2</v>
      </c>
      <c r="D15" s="8" t="n">
        <f aca="false">IF($A15=D$6,"-",MAX($B15*D$5,D$4*$C15))</f>
        <v>6</v>
      </c>
      <c r="E15" s="8" t="n">
        <f aca="false">IF($A15=E$6,"-",MAX($B15*E$5,E$4*$C15))</f>
        <v>6</v>
      </c>
      <c r="F15" s="8" t="n">
        <f aca="false">IF($A15=F$6,"-",MAX($B15*F$5,F$4*$C15))</f>
        <v>6</v>
      </c>
      <c r="G15" s="8" t="n">
        <f aca="false">IF($A15=G$6,"-",MAX($B15*G$5,G$4*$C15))</f>
        <v>6</v>
      </c>
      <c r="H15" s="8" t="n">
        <f aca="false">IF($A15=H$6,"-",MAX($B15*H$5,H$4*$C15))</f>
        <v>4</v>
      </c>
      <c r="I15" s="8" t="n">
        <f aca="false">IF($A15=I$6,"-",MAX($B15*I$5,I$4*$C15))</f>
        <v>4</v>
      </c>
      <c r="J15" s="8" t="n">
        <f aca="false">IF($A15=J$6,"-",MAX($B15*J$5,J$4*$C15))</f>
        <v>6</v>
      </c>
      <c r="K15" s="8" t="n">
        <f aca="false">IF($A15=K$6,"-",MAX($B15*K$5,K$4*$C15))</f>
        <v>2</v>
      </c>
      <c r="L15" s="8" t="str">
        <f aca="false">IF($A15=L$6,"-",MAX($B15*L$5,L$4*$C15))</f>
        <v>-</v>
      </c>
      <c r="M15" s="8" t="n">
        <f aca="false">IF($A15=M$6,"-",MAX($B15*M$5,M$4*$C15))</f>
        <v>6</v>
      </c>
      <c r="N15" s="8" t="n">
        <f aca="false">IF($A15=N$6,"-",MAX($B15*N$5,N$4*$C15))</f>
        <v>4</v>
      </c>
      <c r="O15" s="8" t="n">
        <f aca="false">IF($A15=O$6,"-",MAX($B15*O$5,O$4*$C15))</f>
        <v>4</v>
      </c>
      <c r="P15" s="8" t="n">
        <f aca="false">IF($A15=P$6,"-",MAX($B15*P$5,P$4*$C15))</f>
        <v>4</v>
      </c>
      <c r="Q15" s="8" t="n">
        <f aca="false">IF($A15=Q$6,"-",MAX($B15*Q$5,Q$4*$C15))</f>
        <v>6</v>
      </c>
      <c r="R15" s="8" t="n">
        <f aca="false">IF($A15=R$6,"-",MAX($B15*R$5,R$4*$C15))</f>
        <v>6</v>
      </c>
      <c r="S15" s="8" t="n">
        <f aca="false">IF($A15=S$6,"-",MAX($B15*S$5,S$4*$C15))</f>
        <v>4</v>
      </c>
      <c r="T15" s="8" t="n">
        <f aca="false">IF($A15=T$6,"-",MAX($B15*T$5,T$4*$C15))</f>
        <v>6</v>
      </c>
      <c r="U15" s="8" t="n">
        <f aca="false">IF($A15=U$6,"-",MAX($B15*U$5,U$4*$C15))</f>
        <v>6</v>
      </c>
      <c r="V15" s="8" t="n">
        <f aca="false">IF($A15=V$6,"-",MAX($B15*V$5,V$4*$C15))</f>
        <v>6</v>
      </c>
      <c r="W15" s="8" t="n">
        <f aca="false">IF($A15=W$6,"-",MAX($B15*W$5,W$4*$C15))</f>
        <v>6</v>
      </c>
      <c r="X15" s="8" t="n">
        <f aca="false">IF($A15=X$6,"-",MAX($B15*X$5,X$4*$C15))</f>
        <v>4</v>
      </c>
      <c r="Y15" s="8" t="n">
        <f aca="false">IF($A15=Y$6,"-",MAX($B15*Y$5,Y$4*$C15))</f>
        <v>2</v>
      </c>
      <c r="Z15" s="8" t="n">
        <f aca="false">IF($A15=Z$6,"-",MAX($B15*Z$5,Z$4*$C15))</f>
        <v>2</v>
      </c>
      <c r="AA15" s="8" t="n">
        <f aca="false">IF($A15=AA$6,"-",MAX($B15*AA$5,AA$4*$C15))</f>
        <v>6</v>
      </c>
    </row>
    <row r="16" customFormat="false" ht="15" hidden="false" customHeight="false" outlineLevel="0" collapsed="false">
      <c r="A16" s="7" t="s">
        <v>16</v>
      </c>
      <c r="B16" s="4" t="n">
        <f aca="false">INDEX(Inputs!$E$2:$E$42,MATCH($A16,Inputs!$B$2:$B$42,0))</f>
        <v>3</v>
      </c>
      <c r="C16" s="4" t="n">
        <f aca="false">INDEX(Inputs!$F$2:$F$42,MATCH($A16,Inputs!$B$2:$B$42,0))</f>
        <v>3</v>
      </c>
      <c r="D16" s="8" t="n">
        <f aca="false">IF($A16=D$6,"-",MAX($B16*D$5,D$4*$C16))</f>
        <v>9</v>
      </c>
      <c r="E16" s="8" t="n">
        <f aca="false">IF($A16=E$6,"-",MAX($B16*E$5,E$4*$C16))</f>
        <v>9</v>
      </c>
      <c r="F16" s="8" t="n">
        <f aca="false">IF($A16=F$6,"-",MAX($B16*F$5,F$4*$C16))</f>
        <v>9</v>
      </c>
      <c r="G16" s="8" t="n">
        <f aca="false">IF($A16=G$6,"-",MAX($B16*G$5,G$4*$C16))</f>
        <v>9</v>
      </c>
      <c r="H16" s="8" t="n">
        <f aca="false">IF($A16=H$6,"-",MAX($B16*H$5,H$4*$C16))</f>
        <v>6</v>
      </c>
      <c r="I16" s="8" t="n">
        <f aca="false">IF($A16=I$6,"-",MAX($B16*I$5,I$4*$C16))</f>
        <v>6</v>
      </c>
      <c r="J16" s="8" t="n">
        <f aca="false">IF($A16=J$6,"-",MAX($B16*J$5,J$4*$C16))</f>
        <v>9</v>
      </c>
      <c r="K16" s="8" t="n">
        <f aca="false">IF($A16=K$6,"-",MAX($B16*K$5,K$4*$C16))</f>
        <v>3</v>
      </c>
      <c r="L16" s="8" t="n">
        <f aca="false">IF($A16=L$6,"-",MAX($B16*L$5,L$4*$C16))</f>
        <v>6</v>
      </c>
      <c r="M16" s="8" t="str">
        <f aca="false">IF($A16=M$6,"-",MAX($B16*M$5,M$4*$C16))</f>
        <v>-</v>
      </c>
      <c r="N16" s="8" t="n">
        <f aca="false">IF($A16=N$6,"-",MAX($B16*N$5,N$4*$C16))</f>
        <v>6</v>
      </c>
      <c r="O16" s="8" t="n">
        <f aca="false">IF($A16=O$6,"-",MAX($B16*O$5,O$4*$C16))</f>
        <v>6</v>
      </c>
      <c r="P16" s="8" t="n">
        <f aca="false">IF($A16=P$6,"-",MAX($B16*P$5,P$4*$C16))</f>
        <v>6</v>
      </c>
      <c r="Q16" s="8" t="n">
        <f aca="false">IF($A16=Q$6,"-",MAX($B16*Q$5,Q$4*$C16))</f>
        <v>9</v>
      </c>
      <c r="R16" s="8" t="n">
        <f aca="false">IF($A16=R$6,"-",MAX($B16*R$5,R$4*$C16))</f>
        <v>9</v>
      </c>
      <c r="S16" s="8" t="n">
        <f aca="false">IF($A16=S$6,"-",MAX($B16*S$5,S$4*$C16))</f>
        <v>6</v>
      </c>
      <c r="T16" s="8" t="n">
        <f aca="false">IF($A16=T$6,"-",MAX($B16*T$5,T$4*$C16))</f>
        <v>9</v>
      </c>
      <c r="U16" s="8" t="n">
        <f aca="false">IF($A16=U$6,"-",MAX($B16*U$5,U$4*$C16))</f>
        <v>9</v>
      </c>
      <c r="V16" s="8" t="n">
        <f aca="false">IF($A16=V$6,"-",MAX($B16*V$5,V$4*$C16))</f>
        <v>9</v>
      </c>
      <c r="W16" s="8" t="n">
        <f aca="false">IF($A16=W$6,"-",MAX($B16*W$5,W$4*$C16))</f>
        <v>9</v>
      </c>
      <c r="X16" s="8" t="n">
        <f aca="false">IF($A16=X$6,"-",MAX($B16*X$5,X$4*$C16))</f>
        <v>6</v>
      </c>
      <c r="Y16" s="8" t="n">
        <f aca="false">IF($A16=Y$6,"-",MAX($B16*Y$5,Y$4*$C16))</f>
        <v>3</v>
      </c>
      <c r="Z16" s="8" t="n">
        <f aca="false">IF($A16=Z$6,"-",MAX($B16*Z$5,Z$4*$C16))</f>
        <v>3</v>
      </c>
      <c r="AA16" s="8" t="n">
        <f aca="false">IF($A16=AA$6,"-",MAX($B16*AA$5,AA$4*$C16))</f>
        <v>9</v>
      </c>
    </row>
    <row r="17" customFormat="false" ht="15" hidden="false" customHeight="false" outlineLevel="0" collapsed="false">
      <c r="A17" s="7" t="s">
        <v>17</v>
      </c>
      <c r="B17" s="4" t="n">
        <f aca="false">INDEX(Inputs!$E$2:$E$42,MATCH($A17,Inputs!$B$2:$B$42,0))</f>
        <v>1</v>
      </c>
      <c r="C17" s="4" t="n">
        <f aca="false">INDEX(Inputs!$F$2:$F$42,MATCH($A17,Inputs!$B$2:$B$42,0))</f>
        <v>2</v>
      </c>
      <c r="D17" s="8" t="n">
        <f aca="false">IF($A17=D$6,"-",MAX($B17*D$5,D$4*$C17))</f>
        <v>6</v>
      </c>
      <c r="E17" s="8" t="n">
        <f aca="false">IF($A17=E$6,"-",MAX($B17*E$5,E$4*$C17))</f>
        <v>6</v>
      </c>
      <c r="F17" s="8" t="n">
        <f aca="false">IF($A17=F$6,"-",MAX($B17*F$5,F$4*$C17))</f>
        <v>6</v>
      </c>
      <c r="G17" s="8" t="n">
        <f aca="false">IF($A17=G$6,"-",MAX($B17*G$5,G$4*$C17))</f>
        <v>4</v>
      </c>
      <c r="H17" s="8" t="n">
        <f aca="false">IF($A17=H$6,"-",MAX($B17*H$5,H$4*$C17))</f>
        <v>2</v>
      </c>
      <c r="I17" s="8" t="n">
        <f aca="false">IF($A17=I$6,"-",MAX($B17*I$5,I$4*$C17))</f>
        <v>2</v>
      </c>
      <c r="J17" s="8" t="n">
        <f aca="false">IF($A17=J$6,"-",MAX($B17*J$5,J$4*$C17))</f>
        <v>6</v>
      </c>
      <c r="K17" s="8" t="n">
        <f aca="false">IF($A17=K$6,"-",MAX($B17*K$5,K$4*$C17))</f>
        <v>2</v>
      </c>
      <c r="L17" s="8" t="n">
        <f aca="false">IF($A17=L$6,"-",MAX($B17*L$5,L$4*$C17))</f>
        <v>4</v>
      </c>
      <c r="M17" s="8" t="n">
        <f aca="false">IF($A17=M$6,"-",MAX($B17*M$5,M$4*$C17))</f>
        <v>6</v>
      </c>
      <c r="N17" s="8" t="str">
        <f aca="false">IF($A17=N$6,"-",MAX($B17*N$5,N$4*$C17))</f>
        <v>-</v>
      </c>
      <c r="O17" s="8" t="n">
        <f aca="false">IF($A17=O$6,"-",MAX($B17*O$5,O$4*$C17))</f>
        <v>2</v>
      </c>
      <c r="P17" s="8" t="n">
        <f aca="false">IF($A17=P$6,"-",MAX($B17*P$5,P$4*$C17))</f>
        <v>4</v>
      </c>
      <c r="Q17" s="8" t="n">
        <f aca="false">IF($A17=Q$6,"-",MAX($B17*Q$5,Q$4*$C17))</f>
        <v>6</v>
      </c>
      <c r="R17" s="8" t="n">
        <f aca="false">IF($A17=R$6,"-",MAX($B17*R$5,R$4*$C17))</f>
        <v>6</v>
      </c>
      <c r="S17" s="8" t="n">
        <f aca="false">IF($A17=S$6,"-",MAX($B17*S$5,S$4*$C17))</f>
        <v>2</v>
      </c>
      <c r="T17" s="8" t="n">
        <f aca="false">IF($A17=T$6,"-",MAX($B17*T$5,T$4*$C17))</f>
        <v>6</v>
      </c>
      <c r="U17" s="8" t="n">
        <f aca="false">IF($A17=U$6,"-",MAX($B17*U$5,U$4*$C17))</f>
        <v>6</v>
      </c>
      <c r="V17" s="8" t="n">
        <f aca="false">IF($A17=V$6,"-",MAX($B17*V$5,V$4*$C17))</f>
        <v>6</v>
      </c>
      <c r="W17" s="8" t="n">
        <f aca="false">IF($A17=W$6,"-",MAX($B17*W$5,W$4*$C17))</f>
        <v>6</v>
      </c>
      <c r="X17" s="8" t="n">
        <f aca="false">IF($A17=X$6,"-",MAX($B17*X$5,X$4*$C17))</f>
        <v>2</v>
      </c>
      <c r="Y17" s="8" t="n">
        <f aca="false">IF($A17=Y$6,"-",MAX($B17*Y$5,Y$4*$C17))</f>
        <v>2</v>
      </c>
      <c r="Z17" s="8" t="n">
        <f aca="false">IF($A17=Z$6,"-",MAX($B17*Z$5,Z$4*$C17))</f>
        <v>2</v>
      </c>
      <c r="AA17" s="8" t="n">
        <f aca="false">IF($A17=AA$6,"-",MAX($B17*AA$5,AA$4*$C17))</f>
        <v>3</v>
      </c>
    </row>
    <row r="18" customFormat="false" ht="15" hidden="false" customHeight="false" outlineLevel="0" collapsed="false">
      <c r="A18" s="7" t="s">
        <v>18</v>
      </c>
      <c r="B18" s="4" t="n">
        <f aca="false">INDEX(Inputs!$E$2:$E$42,MATCH($A18,Inputs!$B$2:$B$42,0))</f>
        <v>1</v>
      </c>
      <c r="C18" s="4" t="n">
        <f aca="false">INDEX(Inputs!$F$2:$F$42,MATCH($A18,Inputs!$B$2:$B$42,0))</f>
        <v>2</v>
      </c>
      <c r="D18" s="8" t="n">
        <f aca="false">IF($A18=D$6,"-",MAX($B18*D$5,D$4*$C18))</f>
        <v>6</v>
      </c>
      <c r="E18" s="8" t="n">
        <f aca="false">IF($A18=E$6,"-",MAX($B18*E$5,E$4*$C18))</f>
        <v>6</v>
      </c>
      <c r="F18" s="8" t="n">
        <f aca="false">IF($A18=F$6,"-",MAX($B18*F$5,F$4*$C18))</f>
        <v>6</v>
      </c>
      <c r="G18" s="8" t="n">
        <f aca="false">IF($A18=G$6,"-",MAX($B18*G$5,G$4*$C18))</f>
        <v>4</v>
      </c>
      <c r="H18" s="8" t="n">
        <f aca="false">IF($A18=H$6,"-",MAX($B18*H$5,H$4*$C18))</f>
        <v>2</v>
      </c>
      <c r="I18" s="8" t="n">
        <f aca="false">IF($A18=I$6,"-",MAX($B18*I$5,I$4*$C18))</f>
        <v>2</v>
      </c>
      <c r="J18" s="8" t="n">
        <f aca="false">IF($A18=J$6,"-",MAX($B18*J$5,J$4*$C18))</f>
        <v>6</v>
      </c>
      <c r="K18" s="8" t="n">
        <f aca="false">IF($A18=K$6,"-",MAX($B18*K$5,K$4*$C18))</f>
        <v>2</v>
      </c>
      <c r="L18" s="8" t="n">
        <f aca="false">IF($A18=L$6,"-",MAX($B18*L$5,L$4*$C18))</f>
        <v>4</v>
      </c>
      <c r="M18" s="8" t="n">
        <f aca="false">IF($A18=M$6,"-",MAX($B18*M$5,M$4*$C18))</f>
        <v>6</v>
      </c>
      <c r="N18" s="8" t="n">
        <f aca="false">IF($A18=N$6,"-",MAX($B18*N$5,N$4*$C18))</f>
        <v>2</v>
      </c>
      <c r="O18" s="8" t="str">
        <f aca="false">IF($A18=O$6,"-",MAX($B18*O$5,O$4*$C18))</f>
        <v>-</v>
      </c>
      <c r="P18" s="8" t="n">
        <f aca="false">IF($A18=P$6,"-",MAX($B18*P$5,P$4*$C18))</f>
        <v>4</v>
      </c>
      <c r="Q18" s="8" t="n">
        <f aca="false">IF($A18=Q$6,"-",MAX($B18*Q$5,Q$4*$C18))</f>
        <v>6</v>
      </c>
      <c r="R18" s="8" t="n">
        <f aca="false">IF($A18=R$6,"-",MAX($B18*R$5,R$4*$C18))</f>
        <v>6</v>
      </c>
      <c r="S18" s="8" t="n">
        <f aca="false">IF($A18=S$6,"-",MAX($B18*S$5,S$4*$C18))</f>
        <v>2</v>
      </c>
      <c r="T18" s="8" t="n">
        <f aca="false">IF($A18=T$6,"-",MAX($B18*T$5,T$4*$C18))</f>
        <v>6</v>
      </c>
      <c r="U18" s="8" t="n">
        <f aca="false">IF($A18=U$6,"-",MAX($B18*U$5,U$4*$C18))</f>
        <v>6</v>
      </c>
      <c r="V18" s="8" t="n">
        <f aca="false">IF($A18=V$6,"-",MAX($B18*V$5,V$4*$C18))</f>
        <v>6</v>
      </c>
      <c r="W18" s="8" t="n">
        <f aca="false">IF($A18=W$6,"-",MAX($B18*W$5,W$4*$C18))</f>
        <v>6</v>
      </c>
      <c r="X18" s="8" t="n">
        <f aca="false">IF($A18=X$6,"-",MAX($B18*X$5,X$4*$C18))</f>
        <v>2</v>
      </c>
      <c r="Y18" s="8" t="n">
        <f aca="false">IF($A18=Y$6,"-",MAX($B18*Y$5,Y$4*$C18))</f>
        <v>2</v>
      </c>
      <c r="Z18" s="8" t="n">
        <f aca="false">IF($A18=Z$6,"-",MAX($B18*Z$5,Z$4*$C18))</f>
        <v>2</v>
      </c>
      <c r="AA18" s="8" t="n">
        <f aca="false">IF($A18=AA$6,"-",MAX($B18*AA$5,AA$4*$C18))</f>
        <v>3</v>
      </c>
    </row>
    <row r="19" customFormat="false" ht="15" hidden="false" customHeight="false" outlineLevel="0" collapsed="false">
      <c r="A19" s="7" t="s">
        <v>19</v>
      </c>
      <c r="B19" s="4" t="n">
        <f aca="false">INDEX(Inputs!$E$2:$E$42,MATCH($A19,Inputs!$B$2:$B$42,0))</f>
        <v>2</v>
      </c>
      <c r="C19" s="4" t="n">
        <f aca="false">INDEX(Inputs!$F$2:$F$42,MATCH($A19,Inputs!$B$2:$B$42,0))</f>
        <v>2</v>
      </c>
      <c r="D19" s="8" t="n">
        <f aca="false">IF($A19=D$6,"-",MAX($B19*D$5,D$4*$C19))</f>
        <v>6</v>
      </c>
      <c r="E19" s="8" t="n">
        <f aca="false">IF($A19=E$6,"-",MAX($B19*E$5,E$4*$C19))</f>
        <v>6</v>
      </c>
      <c r="F19" s="8" t="n">
        <f aca="false">IF($A19=F$6,"-",MAX($B19*F$5,F$4*$C19))</f>
        <v>6</v>
      </c>
      <c r="G19" s="8" t="n">
        <f aca="false">IF($A19=G$6,"-",MAX($B19*G$5,G$4*$C19))</f>
        <v>6</v>
      </c>
      <c r="H19" s="8" t="n">
        <f aca="false">IF($A19=H$6,"-",MAX($B19*H$5,H$4*$C19))</f>
        <v>4</v>
      </c>
      <c r="I19" s="8" t="n">
        <f aca="false">IF($A19=I$6,"-",MAX($B19*I$5,I$4*$C19))</f>
        <v>4</v>
      </c>
      <c r="J19" s="8" t="n">
        <f aca="false">IF($A19=J$6,"-",MAX($B19*J$5,J$4*$C19))</f>
        <v>6</v>
      </c>
      <c r="K19" s="8" t="n">
        <f aca="false">IF($A19=K$6,"-",MAX($B19*K$5,K$4*$C19))</f>
        <v>2</v>
      </c>
      <c r="L19" s="8" t="n">
        <f aca="false">IF($A19=L$6,"-",MAX($B19*L$5,L$4*$C19))</f>
        <v>4</v>
      </c>
      <c r="M19" s="8" t="n">
        <f aca="false">IF($A19=M$6,"-",MAX($B19*M$5,M$4*$C19))</f>
        <v>6</v>
      </c>
      <c r="N19" s="8" t="n">
        <f aca="false">IF($A19=N$6,"-",MAX($B19*N$5,N$4*$C19))</f>
        <v>4</v>
      </c>
      <c r="O19" s="8" t="n">
        <f aca="false">IF($A19=O$6,"-",MAX($B19*O$5,O$4*$C19))</f>
        <v>4</v>
      </c>
      <c r="P19" s="8" t="str">
        <f aca="false">IF($A19=P$6,"-",MAX($B19*P$5,P$4*$C19))</f>
        <v>-</v>
      </c>
      <c r="Q19" s="8" t="n">
        <f aca="false">IF($A19=Q$6,"-",MAX($B19*Q$5,Q$4*$C19))</f>
        <v>6</v>
      </c>
      <c r="R19" s="8" t="n">
        <f aca="false">IF($A19=R$6,"-",MAX($B19*R$5,R$4*$C19))</f>
        <v>6</v>
      </c>
      <c r="S19" s="8" t="n">
        <f aca="false">IF($A19=S$6,"-",MAX($B19*S$5,S$4*$C19))</f>
        <v>4</v>
      </c>
      <c r="T19" s="8" t="n">
        <f aca="false">IF($A19=T$6,"-",MAX($B19*T$5,T$4*$C19))</f>
        <v>6</v>
      </c>
      <c r="U19" s="8" t="n">
        <f aca="false">IF($A19=U$6,"-",MAX($B19*U$5,U$4*$C19))</f>
        <v>6</v>
      </c>
      <c r="V19" s="8" t="n">
        <f aca="false">IF($A19=V$6,"-",MAX($B19*V$5,V$4*$C19))</f>
        <v>6</v>
      </c>
      <c r="W19" s="8" t="n">
        <f aca="false">IF($A19=W$6,"-",MAX($B19*W$5,W$4*$C19))</f>
        <v>6</v>
      </c>
      <c r="X19" s="8" t="n">
        <f aca="false">IF($A19=X$6,"-",MAX($B19*X$5,X$4*$C19))</f>
        <v>4</v>
      </c>
      <c r="Y19" s="8" t="n">
        <f aca="false">IF($A19=Y$6,"-",MAX($B19*Y$5,Y$4*$C19))</f>
        <v>2</v>
      </c>
      <c r="Z19" s="8" t="n">
        <f aca="false">IF($A19=Z$6,"-",MAX($B19*Z$5,Z$4*$C19))</f>
        <v>2</v>
      </c>
      <c r="AA19" s="8" t="n">
        <f aca="false">IF($A19=AA$6,"-",MAX($B19*AA$5,AA$4*$C19))</f>
        <v>6</v>
      </c>
    </row>
    <row r="20" customFormat="false" ht="15" hidden="false" customHeight="false" outlineLevel="0" collapsed="false">
      <c r="A20" s="7" t="s">
        <v>20</v>
      </c>
      <c r="B20" s="4" t="n">
        <f aca="false">INDEX(Inputs!$E$2:$E$42,MATCH($A20,Inputs!$B$2:$B$42,0))</f>
        <v>3</v>
      </c>
      <c r="C20" s="4" t="n">
        <f aca="false">INDEX(Inputs!$F$2:$F$42,MATCH($A20,Inputs!$B$2:$B$42,0))</f>
        <v>2</v>
      </c>
      <c r="D20" s="8" t="n">
        <f aca="false">IF($A20=D$6,"-",MAX($B20*D$5,D$4*$C20))</f>
        <v>6</v>
      </c>
      <c r="E20" s="8" t="n">
        <f aca="false">IF($A20=E$6,"-",MAX($B20*E$5,E$4*$C20))</f>
        <v>6</v>
      </c>
      <c r="F20" s="8" t="n">
        <f aca="false">IF($A20=F$6,"-",MAX($B20*F$5,F$4*$C20))</f>
        <v>9</v>
      </c>
      <c r="G20" s="8" t="n">
        <f aca="false">IF($A20=G$6,"-",MAX($B20*G$5,G$4*$C20))</f>
        <v>9</v>
      </c>
      <c r="H20" s="8" t="n">
        <f aca="false">IF($A20=H$6,"-",MAX($B20*H$5,H$4*$C20))</f>
        <v>6</v>
      </c>
      <c r="I20" s="8" t="n">
        <f aca="false">IF($A20=I$6,"-",MAX($B20*I$5,I$4*$C20))</f>
        <v>6</v>
      </c>
      <c r="J20" s="8" t="n">
        <f aca="false">IF($A20=J$6,"-",MAX($B20*J$5,J$4*$C20))</f>
        <v>6</v>
      </c>
      <c r="K20" s="8" t="n">
        <f aca="false">IF($A20=K$6,"-",MAX($B20*K$5,K$4*$C20))</f>
        <v>3</v>
      </c>
      <c r="L20" s="8" t="n">
        <f aca="false">IF($A20=L$6,"-",MAX($B20*L$5,L$4*$C20))</f>
        <v>6</v>
      </c>
      <c r="M20" s="8" t="n">
        <f aca="false">IF($A20=M$6,"-",MAX($B20*M$5,M$4*$C20))</f>
        <v>9</v>
      </c>
      <c r="N20" s="8" t="n">
        <f aca="false">IF($A20=N$6,"-",MAX($B20*N$5,N$4*$C20))</f>
        <v>6</v>
      </c>
      <c r="O20" s="8" t="n">
        <f aca="false">IF($A20=O$6,"-",MAX($B20*O$5,O$4*$C20))</f>
        <v>6</v>
      </c>
      <c r="P20" s="8" t="n">
        <f aca="false">IF($A20=P$6,"-",MAX($B20*P$5,P$4*$C20))</f>
        <v>6</v>
      </c>
      <c r="Q20" s="8" t="str">
        <f aca="false">IF($A20=Q$6,"-",MAX($B20*Q$5,Q$4*$C20))</f>
        <v>-</v>
      </c>
      <c r="R20" s="8" t="n">
        <f aca="false">IF($A20=R$6,"-",MAX($B20*R$5,R$4*$C20))</f>
        <v>6</v>
      </c>
      <c r="S20" s="8" t="n">
        <f aca="false">IF($A20=S$6,"-",MAX($B20*S$5,S$4*$C20))</f>
        <v>6</v>
      </c>
      <c r="T20" s="8" t="n">
        <f aca="false">IF($A20=T$6,"-",MAX($B20*T$5,T$4*$C20))</f>
        <v>6</v>
      </c>
      <c r="U20" s="8" t="n">
        <f aca="false">IF($A20=U$6,"-",MAX($B20*U$5,U$4*$C20))</f>
        <v>6</v>
      </c>
      <c r="V20" s="8" t="n">
        <f aca="false">IF($A20=V$6,"-",MAX($B20*V$5,V$4*$C20))</f>
        <v>6</v>
      </c>
      <c r="W20" s="8" t="n">
        <f aca="false">IF($A20=W$6,"-",MAX($B20*W$5,W$4*$C20))</f>
        <v>6</v>
      </c>
      <c r="X20" s="8" t="n">
        <f aca="false">IF($A20=X$6,"-",MAX($B20*X$5,X$4*$C20))</f>
        <v>6</v>
      </c>
      <c r="Y20" s="8" t="n">
        <f aca="false">IF($A20=Y$6,"-",MAX($B20*Y$5,Y$4*$C20))</f>
        <v>3</v>
      </c>
      <c r="Z20" s="8" t="n">
        <f aca="false">IF($A20=Z$6,"-",MAX($B20*Z$5,Z$4*$C20))</f>
        <v>3</v>
      </c>
      <c r="AA20" s="8" t="n">
        <f aca="false">IF($A20=AA$6,"-",MAX($B20*AA$5,AA$4*$C20))</f>
        <v>9</v>
      </c>
    </row>
    <row r="21" customFormat="false" ht="15" hidden="false" customHeight="false" outlineLevel="0" collapsed="false">
      <c r="A21" s="7" t="s">
        <v>21</v>
      </c>
      <c r="B21" s="4" t="n">
        <f aca="false">INDEX(Inputs!$E$2:$E$42,MATCH($A21,Inputs!$B$2:$B$42,0))</f>
        <v>3</v>
      </c>
      <c r="C21" s="4" t="n">
        <f aca="false">INDEX(Inputs!$F$2:$F$42,MATCH($A21,Inputs!$B$2:$B$42,0))</f>
        <v>2</v>
      </c>
      <c r="D21" s="8" t="n">
        <f aca="false">IF($A21=D$6,"-",MAX($B21*D$5,D$4*$C21))</f>
        <v>6</v>
      </c>
      <c r="E21" s="8" t="n">
        <f aca="false">IF($A21=E$6,"-",MAX($B21*E$5,E$4*$C21))</f>
        <v>6</v>
      </c>
      <c r="F21" s="8" t="n">
        <f aca="false">IF($A21=F$6,"-",MAX($B21*F$5,F$4*$C21))</f>
        <v>9</v>
      </c>
      <c r="G21" s="8" t="n">
        <f aca="false">IF($A21=G$6,"-",MAX($B21*G$5,G$4*$C21))</f>
        <v>9</v>
      </c>
      <c r="H21" s="8" t="n">
        <f aca="false">IF($A21=H$6,"-",MAX($B21*H$5,H$4*$C21))</f>
        <v>6</v>
      </c>
      <c r="I21" s="8" t="n">
        <f aca="false">IF($A21=I$6,"-",MAX($B21*I$5,I$4*$C21))</f>
        <v>6</v>
      </c>
      <c r="J21" s="8" t="n">
        <f aca="false">IF($A21=J$6,"-",MAX($B21*J$5,J$4*$C21))</f>
        <v>6</v>
      </c>
      <c r="K21" s="8" t="n">
        <f aca="false">IF($A21=K$6,"-",MAX($B21*K$5,K$4*$C21))</f>
        <v>3</v>
      </c>
      <c r="L21" s="8" t="n">
        <f aca="false">IF($A21=L$6,"-",MAX($B21*L$5,L$4*$C21))</f>
        <v>6</v>
      </c>
      <c r="M21" s="8" t="n">
        <f aca="false">IF($A21=M$6,"-",MAX($B21*M$5,M$4*$C21))</f>
        <v>9</v>
      </c>
      <c r="N21" s="8" t="n">
        <f aca="false">IF($A21=N$6,"-",MAX($B21*N$5,N$4*$C21))</f>
        <v>6</v>
      </c>
      <c r="O21" s="8" t="n">
        <f aca="false">IF($A21=O$6,"-",MAX($B21*O$5,O$4*$C21))</f>
        <v>6</v>
      </c>
      <c r="P21" s="8" t="n">
        <f aca="false">IF($A21=P$6,"-",MAX($B21*P$5,P$4*$C21))</f>
        <v>6</v>
      </c>
      <c r="Q21" s="8" t="n">
        <f aca="false">IF($A21=Q$6,"-",MAX($B21*Q$5,Q$4*$C21))</f>
        <v>6</v>
      </c>
      <c r="R21" s="8" t="str">
        <f aca="false">IF($A21=R$6,"-",MAX($B21*R$5,R$4*$C21))</f>
        <v>-</v>
      </c>
      <c r="S21" s="8" t="n">
        <f aca="false">IF($A21=S$6,"-",MAX($B21*S$5,S$4*$C21))</f>
        <v>6</v>
      </c>
      <c r="T21" s="8" t="n">
        <f aca="false">IF($A21=T$6,"-",MAX($B21*T$5,T$4*$C21))</f>
        <v>6</v>
      </c>
      <c r="U21" s="8" t="n">
        <f aca="false">IF($A21=U$6,"-",MAX($B21*U$5,U$4*$C21))</f>
        <v>6</v>
      </c>
      <c r="V21" s="8" t="n">
        <f aca="false">IF($A21=V$6,"-",MAX($B21*V$5,V$4*$C21))</f>
        <v>6</v>
      </c>
      <c r="W21" s="8" t="n">
        <f aca="false">IF($A21=W$6,"-",MAX($B21*W$5,W$4*$C21))</f>
        <v>6</v>
      </c>
      <c r="X21" s="8" t="n">
        <f aca="false">IF($A21=X$6,"-",MAX($B21*X$5,X$4*$C21))</f>
        <v>6</v>
      </c>
      <c r="Y21" s="8" t="n">
        <f aca="false">IF($A21=Y$6,"-",MAX($B21*Y$5,Y$4*$C21))</f>
        <v>3</v>
      </c>
      <c r="Z21" s="8" t="n">
        <f aca="false">IF($A21=Z$6,"-",MAX($B21*Z$5,Z$4*$C21))</f>
        <v>3</v>
      </c>
      <c r="AA21" s="8" t="n">
        <f aca="false">IF($A21=AA$6,"-",MAX($B21*AA$5,AA$4*$C21))</f>
        <v>9</v>
      </c>
    </row>
    <row r="22" customFormat="false" ht="15" hidden="false" customHeight="false" outlineLevel="0" collapsed="false">
      <c r="A22" s="7" t="s">
        <v>22</v>
      </c>
      <c r="B22" s="4" t="n">
        <f aca="false">INDEX(Inputs!$E$2:$E$42,MATCH($A22,Inputs!$B$2:$B$42,0))</f>
        <v>1</v>
      </c>
      <c r="C22" s="4" t="n">
        <f aca="false">INDEX(Inputs!$F$2:$F$42,MATCH($A22,Inputs!$B$2:$B$42,0))</f>
        <v>2</v>
      </c>
      <c r="D22" s="8" t="n">
        <f aca="false">IF($A22=D$6,"-",MAX($B22*D$5,D$4*$C22))</f>
        <v>6</v>
      </c>
      <c r="E22" s="8" t="n">
        <f aca="false">IF($A22=E$6,"-",MAX($B22*E$5,E$4*$C22))</f>
        <v>6</v>
      </c>
      <c r="F22" s="8" t="n">
        <f aca="false">IF($A22=F$6,"-",MAX($B22*F$5,F$4*$C22))</f>
        <v>6</v>
      </c>
      <c r="G22" s="8" t="n">
        <f aca="false">IF($A22=G$6,"-",MAX($B22*G$5,G$4*$C22))</f>
        <v>4</v>
      </c>
      <c r="H22" s="8" t="n">
        <f aca="false">IF($A22=H$6,"-",MAX($B22*H$5,H$4*$C22))</f>
        <v>2</v>
      </c>
      <c r="I22" s="8" t="n">
        <f aca="false">IF($A22=I$6,"-",MAX($B22*I$5,I$4*$C22))</f>
        <v>2</v>
      </c>
      <c r="J22" s="8" t="n">
        <f aca="false">IF($A22=J$6,"-",MAX($B22*J$5,J$4*$C22))</f>
        <v>6</v>
      </c>
      <c r="K22" s="8" t="n">
        <f aca="false">IF($A22=K$6,"-",MAX($B22*K$5,K$4*$C22))</f>
        <v>2</v>
      </c>
      <c r="L22" s="8" t="n">
        <f aca="false">IF($A22=L$6,"-",MAX($B22*L$5,L$4*$C22))</f>
        <v>4</v>
      </c>
      <c r="M22" s="8" t="n">
        <f aca="false">IF($A22=M$6,"-",MAX($B22*M$5,M$4*$C22))</f>
        <v>6</v>
      </c>
      <c r="N22" s="8" t="n">
        <f aca="false">IF($A22=N$6,"-",MAX($B22*N$5,N$4*$C22))</f>
        <v>2</v>
      </c>
      <c r="O22" s="8" t="n">
        <f aca="false">IF($A22=O$6,"-",MAX($B22*O$5,O$4*$C22))</f>
        <v>2</v>
      </c>
      <c r="P22" s="8" t="n">
        <f aca="false">IF($A22=P$6,"-",MAX($B22*P$5,P$4*$C22))</f>
        <v>4</v>
      </c>
      <c r="Q22" s="8" t="n">
        <f aca="false">IF($A22=Q$6,"-",MAX($B22*Q$5,Q$4*$C22))</f>
        <v>6</v>
      </c>
      <c r="R22" s="8" t="n">
        <f aca="false">IF($A22=R$6,"-",MAX($B22*R$5,R$4*$C22))</f>
        <v>6</v>
      </c>
      <c r="S22" s="8" t="str">
        <f aca="false">IF($A22=S$6,"-",MAX($B22*S$5,S$4*$C22))</f>
        <v>-</v>
      </c>
      <c r="T22" s="8" t="n">
        <f aca="false">IF($A22=T$6,"-",MAX($B22*T$5,T$4*$C22))</f>
        <v>6</v>
      </c>
      <c r="U22" s="8" t="n">
        <f aca="false">IF($A22=U$6,"-",MAX($B22*U$5,U$4*$C22))</f>
        <v>6</v>
      </c>
      <c r="V22" s="8" t="n">
        <f aca="false">IF($A22=V$6,"-",MAX($B22*V$5,V$4*$C22))</f>
        <v>6</v>
      </c>
      <c r="W22" s="8" t="n">
        <f aca="false">IF($A22=W$6,"-",MAX($B22*W$5,W$4*$C22))</f>
        <v>6</v>
      </c>
      <c r="X22" s="8" t="n">
        <f aca="false">IF($A22=X$6,"-",MAX($B22*X$5,X$4*$C22))</f>
        <v>2</v>
      </c>
      <c r="Y22" s="8" t="n">
        <f aca="false">IF($A22=Y$6,"-",MAX($B22*Y$5,Y$4*$C22))</f>
        <v>2</v>
      </c>
      <c r="Z22" s="8" t="n">
        <f aca="false">IF($A22=Z$6,"-",MAX($B22*Z$5,Z$4*$C22))</f>
        <v>2</v>
      </c>
      <c r="AA22" s="8" t="n">
        <f aca="false">IF($A22=AA$6,"-",MAX($B22*AA$5,AA$4*$C22))</f>
        <v>3</v>
      </c>
    </row>
    <row r="23" customFormat="false" ht="15" hidden="false" customHeight="false" outlineLevel="0" collapsed="false">
      <c r="A23" s="7" t="s">
        <v>23</v>
      </c>
      <c r="B23" s="4" t="n">
        <f aca="false">INDEX(Inputs!$E$2:$E$42,MATCH($A23,Inputs!$B$2:$B$42,0))</f>
        <v>3</v>
      </c>
      <c r="C23" s="4" t="n">
        <f aca="false">INDEX(Inputs!$F$2:$F$42,MATCH($A23,Inputs!$B$2:$B$42,0))</f>
        <v>2</v>
      </c>
      <c r="D23" s="8" t="n">
        <f aca="false">IF($A23=D$6,"-",MAX($B23*D$5,D$4*$C23))</f>
        <v>6</v>
      </c>
      <c r="E23" s="8" t="n">
        <f aca="false">IF($A23=E$6,"-",MAX($B23*E$5,E$4*$C23))</f>
        <v>6</v>
      </c>
      <c r="F23" s="8" t="n">
        <f aca="false">IF($A23=F$6,"-",MAX($B23*F$5,F$4*$C23))</f>
        <v>9</v>
      </c>
      <c r="G23" s="8" t="n">
        <f aca="false">IF($A23=G$6,"-",MAX($B23*G$5,G$4*$C23))</f>
        <v>9</v>
      </c>
      <c r="H23" s="8" t="n">
        <f aca="false">IF($A23=H$6,"-",MAX($B23*H$5,H$4*$C23))</f>
        <v>6</v>
      </c>
      <c r="I23" s="8" t="n">
        <f aca="false">IF($A23=I$6,"-",MAX($B23*I$5,I$4*$C23))</f>
        <v>6</v>
      </c>
      <c r="J23" s="8" t="n">
        <f aca="false">IF($A23=J$6,"-",MAX($B23*J$5,J$4*$C23))</f>
        <v>6</v>
      </c>
      <c r="K23" s="8" t="n">
        <f aca="false">IF($A23=K$6,"-",MAX($B23*K$5,K$4*$C23))</f>
        <v>3</v>
      </c>
      <c r="L23" s="8" t="n">
        <f aca="false">IF($A23=L$6,"-",MAX($B23*L$5,L$4*$C23))</f>
        <v>6</v>
      </c>
      <c r="M23" s="8" t="n">
        <f aca="false">IF($A23=M$6,"-",MAX($B23*M$5,M$4*$C23))</f>
        <v>9</v>
      </c>
      <c r="N23" s="8" t="n">
        <f aca="false">IF($A23=N$6,"-",MAX($B23*N$5,N$4*$C23))</f>
        <v>6</v>
      </c>
      <c r="O23" s="8" t="n">
        <f aca="false">IF($A23=O$6,"-",MAX($B23*O$5,O$4*$C23))</f>
        <v>6</v>
      </c>
      <c r="P23" s="8" t="n">
        <f aca="false">IF($A23=P$6,"-",MAX($B23*P$5,P$4*$C23))</f>
        <v>6</v>
      </c>
      <c r="Q23" s="8" t="n">
        <f aca="false">IF($A23=Q$6,"-",MAX($B23*Q$5,Q$4*$C23))</f>
        <v>6</v>
      </c>
      <c r="R23" s="8" t="n">
        <f aca="false">IF($A23=R$6,"-",MAX($B23*R$5,R$4*$C23))</f>
        <v>6</v>
      </c>
      <c r="S23" s="8" t="n">
        <f aca="false">IF($A23=S$6,"-",MAX($B23*S$5,S$4*$C23))</f>
        <v>6</v>
      </c>
      <c r="T23" s="8" t="str">
        <f aca="false">IF($A23=T$6,"-",MAX($B23*T$5,T$4*$C23))</f>
        <v>-</v>
      </c>
      <c r="U23" s="8" t="n">
        <f aca="false">IF($A23=U$6,"-",MAX($B23*U$5,U$4*$C23))</f>
        <v>6</v>
      </c>
      <c r="V23" s="8" t="n">
        <f aca="false">IF($A23=V$6,"-",MAX($B23*V$5,V$4*$C23))</f>
        <v>6</v>
      </c>
      <c r="W23" s="8" t="n">
        <f aca="false">IF($A23=W$6,"-",MAX($B23*W$5,W$4*$C23))</f>
        <v>6</v>
      </c>
      <c r="X23" s="8" t="n">
        <f aca="false">IF($A23=X$6,"-",MAX($B23*X$5,X$4*$C23))</f>
        <v>6</v>
      </c>
      <c r="Y23" s="8" t="n">
        <f aca="false">IF($A23=Y$6,"-",MAX($B23*Y$5,Y$4*$C23))</f>
        <v>3</v>
      </c>
      <c r="Z23" s="8" t="n">
        <f aca="false">IF($A23=Z$6,"-",MAX($B23*Z$5,Z$4*$C23))</f>
        <v>3</v>
      </c>
      <c r="AA23" s="8" t="n">
        <f aca="false">IF($A23=AA$6,"-",MAX($B23*AA$5,AA$4*$C23))</f>
        <v>9</v>
      </c>
    </row>
    <row r="24" customFormat="false" ht="15" hidden="false" customHeight="false" outlineLevel="0" collapsed="false">
      <c r="A24" s="7" t="s">
        <v>24</v>
      </c>
      <c r="B24" s="4" t="n">
        <f aca="false">INDEX(Inputs!$E$2:$E$42,MATCH($A24,Inputs!$B$2:$B$42,0))</f>
        <v>3</v>
      </c>
      <c r="C24" s="4" t="n">
        <f aca="false">INDEX(Inputs!$F$2:$F$42,MATCH($A24,Inputs!$B$2:$B$42,0))</f>
        <v>2</v>
      </c>
      <c r="D24" s="8" t="n">
        <f aca="false">IF($A24=D$6,"-",MAX($B24*D$5,D$4*$C24))</f>
        <v>6</v>
      </c>
      <c r="E24" s="8" t="n">
        <f aca="false">IF($A24=E$6,"-",MAX($B24*E$5,E$4*$C24))</f>
        <v>6</v>
      </c>
      <c r="F24" s="8" t="n">
        <f aca="false">IF($A24=F$6,"-",MAX($B24*F$5,F$4*$C24))</f>
        <v>9</v>
      </c>
      <c r="G24" s="8" t="n">
        <f aca="false">IF($A24=G$6,"-",MAX($B24*G$5,G$4*$C24))</f>
        <v>9</v>
      </c>
      <c r="H24" s="8" t="n">
        <f aca="false">IF($A24=H$6,"-",MAX($B24*H$5,H$4*$C24))</f>
        <v>6</v>
      </c>
      <c r="I24" s="8" t="n">
        <f aca="false">IF($A24=I$6,"-",MAX($B24*I$5,I$4*$C24))</f>
        <v>6</v>
      </c>
      <c r="J24" s="8" t="n">
        <f aca="false">IF($A24=J$6,"-",MAX($B24*J$5,J$4*$C24))</f>
        <v>6</v>
      </c>
      <c r="K24" s="8" t="n">
        <f aca="false">IF($A24=K$6,"-",MAX($B24*K$5,K$4*$C24))</f>
        <v>3</v>
      </c>
      <c r="L24" s="8" t="n">
        <f aca="false">IF($A24=L$6,"-",MAX($B24*L$5,L$4*$C24))</f>
        <v>6</v>
      </c>
      <c r="M24" s="8" t="n">
        <f aca="false">IF($A24=M$6,"-",MAX($B24*M$5,M$4*$C24))</f>
        <v>9</v>
      </c>
      <c r="N24" s="8" t="n">
        <f aca="false">IF($A24=N$6,"-",MAX($B24*N$5,N$4*$C24))</f>
        <v>6</v>
      </c>
      <c r="O24" s="8" t="n">
        <f aca="false">IF($A24=O$6,"-",MAX($B24*O$5,O$4*$C24))</f>
        <v>6</v>
      </c>
      <c r="P24" s="8" t="n">
        <f aca="false">IF($A24=P$6,"-",MAX($B24*P$5,P$4*$C24))</f>
        <v>6</v>
      </c>
      <c r="Q24" s="8" t="n">
        <f aca="false">IF($A24=Q$6,"-",MAX($B24*Q$5,Q$4*$C24))</f>
        <v>6</v>
      </c>
      <c r="R24" s="8" t="n">
        <f aca="false">IF($A24=R$6,"-",MAX($B24*R$5,R$4*$C24))</f>
        <v>6</v>
      </c>
      <c r="S24" s="8" t="n">
        <f aca="false">IF($A24=S$6,"-",MAX($B24*S$5,S$4*$C24))</f>
        <v>6</v>
      </c>
      <c r="T24" s="8" t="n">
        <f aca="false">IF($A24=T$6,"-",MAX($B24*T$5,T$4*$C24))</f>
        <v>6</v>
      </c>
      <c r="U24" s="8" t="str">
        <f aca="false">IF($A24=U$6,"-",MAX($B24*U$5,U$4*$C24))</f>
        <v>-</v>
      </c>
      <c r="V24" s="8" t="n">
        <f aca="false">IF($A24=V$6,"-",MAX($B24*V$5,V$4*$C24))</f>
        <v>6</v>
      </c>
      <c r="W24" s="8" t="n">
        <f aca="false">IF($A24=W$6,"-",MAX($B24*W$5,W$4*$C24))</f>
        <v>6</v>
      </c>
      <c r="X24" s="8" t="n">
        <f aca="false">IF($A24=X$6,"-",MAX($B24*X$5,X$4*$C24))</f>
        <v>6</v>
      </c>
      <c r="Y24" s="8" t="n">
        <f aca="false">IF($A24=Y$6,"-",MAX($B24*Y$5,Y$4*$C24))</f>
        <v>3</v>
      </c>
      <c r="Z24" s="8" t="n">
        <f aca="false">IF($A24=Z$6,"-",MAX($B24*Z$5,Z$4*$C24))</f>
        <v>3</v>
      </c>
      <c r="AA24" s="8" t="n">
        <f aca="false">IF($A24=AA$6,"-",MAX($B24*AA$5,AA$4*$C24))</f>
        <v>9</v>
      </c>
    </row>
    <row r="25" customFormat="false" ht="15" hidden="false" customHeight="false" outlineLevel="0" collapsed="false">
      <c r="A25" s="7" t="s">
        <v>25</v>
      </c>
      <c r="B25" s="4" t="n">
        <f aca="false">INDEX(Inputs!$E$2:$E$42,MATCH($A25,Inputs!$B$2:$B$42,0))</f>
        <v>3</v>
      </c>
      <c r="C25" s="4" t="n">
        <f aca="false">INDEX(Inputs!$F$2:$F$42,MATCH($A25,Inputs!$B$2:$B$42,0))</f>
        <v>2</v>
      </c>
      <c r="D25" s="8" t="n">
        <f aca="false">IF($A25=D$6,"-",MAX($B25*D$5,D$4*$C25))</f>
        <v>6</v>
      </c>
      <c r="E25" s="8" t="n">
        <f aca="false">IF($A25=E$6,"-",MAX($B25*E$5,E$4*$C25))</f>
        <v>6</v>
      </c>
      <c r="F25" s="8" t="n">
        <f aca="false">IF($A25=F$6,"-",MAX($B25*F$5,F$4*$C25))</f>
        <v>9</v>
      </c>
      <c r="G25" s="8" t="n">
        <f aca="false">IF($A25=G$6,"-",MAX($B25*G$5,G$4*$C25))</f>
        <v>9</v>
      </c>
      <c r="H25" s="8" t="n">
        <f aca="false">IF($A25=H$6,"-",MAX($B25*H$5,H$4*$C25))</f>
        <v>6</v>
      </c>
      <c r="I25" s="8" t="n">
        <f aca="false">IF($A25=I$6,"-",MAX($B25*I$5,I$4*$C25))</f>
        <v>6</v>
      </c>
      <c r="J25" s="8" t="n">
        <f aca="false">IF($A25=J$6,"-",MAX($B25*J$5,J$4*$C25))</f>
        <v>6</v>
      </c>
      <c r="K25" s="8" t="n">
        <f aca="false">IF($A25=K$6,"-",MAX($B25*K$5,K$4*$C25))</f>
        <v>3</v>
      </c>
      <c r="L25" s="8" t="n">
        <f aca="false">IF($A25=L$6,"-",MAX($B25*L$5,L$4*$C25))</f>
        <v>6</v>
      </c>
      <c r="M25" s="8" t="n">
        <f aca="false">IF($A25=M$6,"-",MAX($B25*M$5,M$4*$C25))</f>
        <v>9</v>
      </c>
      <c r="N25" s="8" t="n">
        <f aca="false">IF($A25=N$6,"-",MAX($B25*N$5,N$4*$C25))</f>
        <v>6</v>
      </c>
      <c r="O25" s="8" t="n">
        <f aca="false">IF($A25=O$6,"-",MAX($B25*O$5,O$4*$C25))</f>
        <v>6</v>
      </c>
      <c r="P25" s="8" t="n">
        <f aca="false">IF($A25=P$6,"-",MAX($B25*P$5,P$4*$C25))</f>
        <v>6</v>
      </c>
      <c r="Q25" s="8" t="n">
        <f aca="false">IF($A25=Q$6,"-",MAX($B25*Q$5,Q$4*$C25))</f>
        <v>6</v>
      </c>
      <c r="R25" s="8" t="n">
        <f aca="false">IF($A25=R$6,"-",MAX($B25*R$5,R$4*$C25))</f>
        <v>6</v>
      </c>
      <c r="S25" s="8" t="n">
        <f aca="false">IF($A25=S$6,"-",MAX($B25*S$5,S$4*$C25))</f>
        <v>6</v>
      </c>
      <c r="T25" s="8" t="n">
        <f aca="false">IF($A25=T$6,"-",MAX($B25*T$5,T$4*$C25))</f>
        <v>6</v>
      </c>
      <c r="U25" s="8" t="n">
        <f aca="false">IF($A25=U$6,"-",MAX($B25*U$5,U$4*$C25))</f>
        <v>6</v>
      </c>
      <c r="V25" s="8" t="str">
        <f aca="false">IF($A25=V$6,"-",MAX($B25*V$5,V$4*$C25))</f>
        <v>-</v>
      </c>
      <c r="W25" s="8" t="n">
        <f aca="false">IF($A25=W$6,"-",MAX($B25*W$5,W$4*$C25))</f>
        <v>6</v>
      </c>
      <c r="X25" s="8" t="n">
        <f aca="false">IF($A25=X$6,"-",MAX($B25*X$5,X$4*$C25))</f>
        <v>6</v>
      </c>
      <c r="Y25" s="8" t="n">
        <f aca="false">IF($A25=Y$6,"-",MAX($B25*Y$5,Y$4*$C25))</f>
        <v>3</v>
      </c>
      <c r="Z25" s="8" t="n">
        <f aca="false">IF($A25=Z$6,"-",MAX($B25*Z$5,Z$4*$C25))</f>
        <v>3</v>
      </c>
      <c r="AA25" s="8" t="n">
        <f aca="false">IF($A25=AA$6,"-",MAX($B25*AA$5,AA$4*$C25))</f>
        <v>9</v>
      </c>
    </row>
    <row r="26" customFormat="false" ht="15" hidden="false" customHeight="false" outlineLevel="0" collapsed="false">
      <c r="A26" s="7" t="s">
        <v>26</v>
      </c>
      <c r="B26" s="4" t="n">
        <f aca="false">INDEX(Inputs!$E$2:$E$42,MATCH($A26,Inputs!$B$2:$B$42,0))</f>
        <v>3</v>
      </c>
      <c r="C26" s="4" t="n">
        <f aca="false">INDEX(Inputs!$F$2:$F$42,MATCH($A26,Inputs!$B$2:$B$42,0))</f>
        <v>2</v>
      </c>
      <c r="D26" s="8" t="n">
        <f aca="false">IF($A26=D$6,"-",MAX($B26*D$5,D$4*$C26))</f>
        <v>6</v>
      </c>
      <c r="E26" s="8" t="n">
        <f aca="false">IF($A26=E$6,"-",MAX($B26*E$5,E$4*$C26))</f>
        <v>6</v>
      </c>
      <c r="F26" s="8" t="n">
        <f aca="false">IF($A26=F$6,"-",MAX($B26*F$5,F$4*$C26))</f>
        <v>9</v>
      </c>
      <c r="G26" s="8" t="n">
        <f aca="false">IF($A26=G$6,"-",MAX($B26*G$5,G$4*$C26))</f>
        <v>9</v>
      </c>
      <c r="H26" s="8" t="n">
        <f aca="false">IF($A26=H$6,"-",MAX($B26*H$5,H$4*$C26))</f>
        <v>6</v>
      </c>
      <c r="I26" s="8" t="n">
        <f aca="false">IF($A26=I$6,"-",MAX($B26*I$5,I$4*$C26))</f>
        <v>6</v>
      </c>
      <c r="J26" s="8" t="n">
        <f aca="false">IF($A26=J$6,"-",MAX($B26*J$5,J$4*$C26))</f>
        <v>6</v>
      </c>
      <c r="K26" s="8" t="n">
        <f aca="false">IF($A26=K$6,"-",MAX($B26*K$5,K$4*$C26))</f>
        <v>3</v>
      </c>
      <c r="L26" s="8" t="n">
        <f aca="false">IF($A26=L$6,"-",MAX($B26*L$5,L$4*$C26))</f>
        <v>6</v>
      </c>
      <c r="M26" s="8" t="n">
        <f aca="false">IF($A26=M$6,"-",MAX($B26*M$5,M$4*$C26))</f>
        <v>9</v>
      </c>
      <c r="N26" s="8" t="n">
        <f aca="false">IF($A26=N$6,"-",MAX($B26*N$5,N$4*$C26))</f>
        <v>6</v>
      </c>
      <c r="O26" s="8" t="n">
        <f aca="false">IF($A26=O$6,"-",MAX($B26*O$5,O$4*$C26))</f>
        <v>6</v>
      </c>
      <c r="P26" s="8" t="n">
        <f aca="false">IF($A26=P$6,"-",MAX($B26*P$5,P$4*$C26))</f>
        <v>6</v>
      </c>
      <c r="Q26" s="8" t="n">
        <f aca="false">IF($A26=Q$6,"-",MAX($B26*Q$5,Q$4*$C26))</f>
        <v>6</v>
      </c>
      <c r="R26" s="8" t="n">
        <f aca="false">IF($A26=R$6,"-",MAX($B26*R$5,R$4*$C26))</f>
        <v>6</v>
      </c>
      <c r="S26" s="8" t="n">
        <f aca="false">IF($A26=S$6,"-",MAX($B26*S$5,S$4*$C26))</f>
        <v>6</v>
      </c>
      <c r="T26" s="8" t="n">
        <f aca="false">IF($A26=T$6,"-",MAX($B26*T$5,T$4*$C26))</f>
        <v>6</v>
      </c>
      <c r="U26" s="8" t="n">
        <f aca="false">IF($A26=U$6,"-",MAX($B26*U$5,U$4*$C26))</f>
        <v>6</v>
      </c>
      <c r="V26" s="8" t="n">
        <f aca="false">IF($A26=V$6,"-",MAX($B26*V$5,V$4*$C26))</f>
        <v>6</v>
      </c>
      <c r="W26" s="8" t="str">
        <f aca="false">IF($A26=W$6,"-",MAX($B26*W$5,W$4*$C26))</f>
        <v>-</v>
      </c>
      <c r="X26" s="8" t="n">
        <f aca="false">IF($A26=X$6,"-",MAX($B26*X$5,X$4*$C26))</f>
        <v>6</v>
      </c>
      <c r="Y26" s="8" t="n">
        <f aca="false">IF($A26=Y$6,"-",MAX($B26*Y$5,Y$4*$C26))</f>
        <v>3</v>
      </c>
      <c r="Z26" s="8" t="n">
        <f aca="false">IF($A26=Z$6,"-",MAX($B26*Z$5,Z$4*$C26))</f>
        <v>3</v>
      </c>
      <c r="AA26" s="8" t="n">
        <f aca="false">IF($A26=AA$6,"-",MAX($B26*AA$5,AA$4*$C26))</f>
        <v>9</v>
      </c>
    </row>
    <row r="27" customFormat="false" ht="15" hidden="false" customHeight="false" outlineLevel="0" collapsed="false">
      <c r="A27" s="7" t="s">
        <v>27</v>
      </c>
      <c r="B27" s="4" t="n">
        <f aca="false">INDEX(Inputs!$E$2:$E$42,MATCH($A27,Inputs!$B$2:$B$42,0))</f>
        <v>1</v>
      </c>
      <c r="C27" s="4" t="n">
        <f aca="false">INDEX(Inputs!$F$2:$F$42,MATCH($A27,Inputs!$B$2:$B$42,0))</f>
        <v>2</v>
      </c>
      <c r="D27" s="8" t="n">
        <f aca="false">IF($A27=D$6,"-",MAX($B27*D$5,D$4*$C27))</f>
        <v>6</v>
      </c>
      <c r="E27" s="8" t="n">
        <f aca="false">IF($A27=E$6,"-",MAX($B27*E$5,E$4*$C27))</f>
        <v>6</v>
      </c>
      <c r="F27" s="8" t="n">
        <f aca="false">IF($A27=F$6,"-",MAX($B27*F$5,F$4*$C27))</f>
        <v>6</v>
      </c>
      <c r="G27" s="8" t="n">
        <f aca="false">IF($A27=G$6,"-",MAX($B27*G$5,G$4*$C27))</f>
        <v>4</v>
      </c>
      <c r="H27" s="8" t="n">
        <f aca="false">IF($A27=H$6,"-",MAX($B27*H$5,H$4*$C27))</f>
        <v>2</v>
      </c>
      <c r="I27" s="8" t="n">
        <f aca="false">IF($A27=I$6,"-",MAX($B27*I$5,I$4*$C27))</f>
        <v>2</v>
      </c>
      <c r="J27" s="8" t="n">
        <f aca="false">IF($A27=J$6,"-",MAX($B27*J$5,J$4*$C27))</f>
        <v>6</v>
      </c>
      <c r="K27" s="8" t="n">
        <f aca="false">IF($A27=K$6,"-",MAX($B27*K$5,K$4*$C27))</f>
        <v>2</v>
      </c>
      <c r="L27" s="8" t="n">
        <f aca="false">IF($A27=L$6,"-",MAX($B27*L$5,L$4*$C27))</f>
        <v>4</v>
      </c>
      <c r="M27" s="8" t="n">
        <f aca="false">IF($A27=M$6,"-",MAX($B27*M$5,M$4*$C27))</f>
        <v>6</v>
      </c>
      <c r="N27" s="8" t="n">
        <f aca="false">IF($A27=N$6,"-",MAX($B27*N$5,N$4*$C27))</f>
        <v>2</v>
      </c>
      <c r="O27" s="8" t="n">
        <f aca="false">IF($A27=O$6,"-",MAX($B27*O$5,O$4*$C27))</f>
        <v>2</v>
      </c>
      <c r="P27" s="8" t="n">
        <f aca="false">IF($A27=P$6,"-",MAX($B27*P$5,P$4*$C27))</f>
        <v>4</v>
      </c>
      <c r="Q27" s="8" t="n">
        <f aca="false">IF($A27=Q$6,"-",MAX($B27*Q$5,Q$4*$C27))</f>
        <v>6</v>
      </c>
      <c r="R27" s="8" t="n">
        <f aca="false">IF($A27=R$6,"-",MAX($B27*R$5,R$4*$C27))</f>
        <v>6</v>
      </c>
      <c r="S27" s="8" t="n">
        <f aca="false">IF($A27=S$6,"-",MAX($B27*S$5,S$4*$C27))</f>
        <v>2</v>
      </c>
      <c r="T27" s="8" t="n">
        <f aca="false">IF($A27=T$6,"-",MAX($B27*T$5,T$4*$C27))</f>
        <v>6</v>
      </c>
      <c r="U27" s="8" t="n">
        <f aca="false">IF($A27=U$6,"-",MAX($B27*U$5,U$4*$C27))</f>
        <v>6</v>
      </c>
      <c r="V27" s="8" t="n">
        <f aca="false">IF($A27=V$6,"-",MAX($B27*V$5,V$4*$C27))</f>
        <v>6</v>
      </c>
      <c r="W27" s="8" t="n">
        <f aca="false">IF($A27=W$6,"-",MAX($B27*W$5,W$4*$C27))</f>
        <v>6</v>
      </c>
      <c r="X27" s="8" t="str">
        <f aca="false">IF($A27=X$6,"-",MAX($B27*X$5,X$4*$C27))</f>
        <v>-</v>
      </c>
      <c r="Y27" s="8" t="n">
        <f aca="false">IF($A27=Y$6,"-",MAX($B27*Y$5,Y$4*$C27))</f>
        <v>2</v>
      </c>
      <c r="Z27" s="8" t="n">
        <f aca="false">IF($A27=Z$6,"-",MAX($B27*Z$5,Z$4*$C27))</f>
        <v>2</v>
      </c>
      <c r="AA27" s="8" t="n">
        <f aca="false">IF($A27=AA$6,"-",MAX($B27*AA$5,AA$4*$C27))</f>
        <v>3</v>
      </c>
    </row>
    <row r="28" customFormat="false" ht="15" hidden="false" customHeight="false" outlineLevel="0" collapsed="false">
      <c r="A28" s="7" t="s">
        <v>28</v>
      </c>
      <c r="B28" s="4" t="n">
        <f aca="false">INDEX(Inputs!$E$2:$E$42,MATCH($A28,Inputs!$B$2:$B$42,0))</f>
        <v>1</v>
      </c>
      <c r="C28" s="4" t="n">
        <f aca="false">INDEX(Inputs!$F$2:$F$42,MATCH($A28,Inputs!$B$2:$B$42,0))</f>
        <v>1</v>
      </c>
      <c r="D28" s="8" t="n">
        <f aca="false">IF($A28=D$6,"-",MAX($B28*D$5,D$4*$C28))</f>
        <v>3</v>
      </c>
      <c r="E28" s="8" t="n">
        <f aca="false">IF($A28=E$6,"-",MAX($B28*E$5,E$4*$C28))</f>
        <v>3</v>
      </c>
      <c r="F28" s="8" t="n">
        <f aca="false">IF($A28=F$6,"-",MAX($B28*F$5,F$4*$C28))</f>
        <v>3</v>
      </c>
      <c r="G28" s="8" t="n">
        <f aca="false">IF($A28=G$6,"-",MAX($B28*G$5,G$4*$C28))</f>
        <v>3</v>
      </c>
      <c r="H28" s="8" t="n">
        <f aca="false">IF($A28=H$6,"-",MAX($B28*H$5,H$4*$C28))</f>
        <v>2</v>
      </c>
      <c r="I28" s="8" t="n">
        <f aca="false">IF($A28=I$6,"-",MAX($B28*I$5,I$4*$C28))</f>
        <v>2</v>
      </c>
      <c r="J28" s="8" t="n">
        <f aca="false">IF($A28=J$6,"-",MAX($B28*J$5,J$4*$C28))</f>
        <v>3</v>
      </c>
      <c r="K28" s="8" t="n">
        <f aca="false">IF($A28=K$6,"-",MAX($B28*K$5,K$4*$C28))</f>
        <v>1</v>
      </c>
      <c r="L28" s="8" t="n">
        <f aca="false">IF($A28=L$6,"-",MAX($B28*L$5,L$4*$C28))</f>
        <v>2</v>
      </c>
      <c r="M28" s="8" t="n">
        <f aca="false">IF($A28=M$6,"-",MAX($B28*M$5,M$4*$C28))</f>
        <v>3</v>
      </c>
      <c r="N28" s="8" t="n">
        <f aca="false">IF($A28=N$6,"-",MAX($B28*N$5,N$4*$C28))</f>
        <v>2</v>
      </c>
      <c r="O28" s="8" t="n">
        <f aca="false">IF($A28=O$6,"-",MAX($B28*O$5,O$4*$C28))</f>
        <v>2</v>
      </c>
      <c r="P28" s="8" t="n">
        <f aca="false">IF($A28=P$6,"-",MAX($B28*P$5,P$4*$C28))</f>
        <v>2</v>
      </c>
      <c r="Q28" s="8" t="n">
        <f aca="false">IF($A28=Q$6,"-",MAX($B28*Q$5,Q$4*$C28))</f>
        <v>3</v>
      </c>
      <c r="R28" s="8" t="n">
        <f aca="false">IF($A28=R$6,"-",MAX($B28*R$5,R$4*$C28))</f>
        <v>3</v>
      </c>
      <c r="S28" s="8" t="n">
        <f aca="false">IF($A28=S$6,"-",MAX($B28*S$5,S$4*$C28))</f>
        <v>2</v>
      </c>
      <c r="T28" s="8" t="n">
        <f aca="false">IF($A28=T$6,"-",MAX($B28*T$5,T$4*$C28))</f>
        <v>3</v>
      </c>
      <c r="U28" s="8" t="n">
        <f aca="false">IF($A28=U$6,"-",MAX($B28*U$5,U$4*$C28))</f>
        <v>3</v>
      </c>
      <c r="V28" s="8" t="n">
        <f aca="false">IF($A28=V$6,"-",MAX($B28*V$5,V$4*$C28))</f>
        <v>3</v>
      </c>
      <c r="W28" s="8" t="n">
        <f aca="false">IF($A28=W$6,"-",MAX($B28*W$5,W$4*$C28))</f>
        <v>3</v>
      </c>
      <c r="X28" s="8" t="n">
        <f aca="false">IF($A28=X$6,"-",MAX($B28*X$5,X$4*$C28))</f>
        <v>2</v>
      </c>
      <c r="Y28" s="8" t="str">
        <f aca="false">IF($A28=Y$6,"-",MAX($B28*Y$5,Y$4*$C28))</f>
        <v>-</v>
      </c>
      <c r="Z28" s="8" t="n">
        <f aca="false">IF($A28=Z$6,"-",MAX($B28*Z$5,Z$4*$C28))</f>
        <v>1</v>
      </c>
      <c r="AA28" s="8" t="n">
        <f aca="false">IF($A28=AA$6,"-",MAX($B28*AA$5,AA$4*$C28))</f>
        <v>3</v>
      </c>
    </row>
    <row r="29" customFormat="false" ht="15" hidden="false" customHeight="false" outlineLevel="0" collapsed="false">
      <c r="A29" s="7" t="s">
        <v>29</v>
      </c>
      <c r="B29" s="4" t="n">
        <f aca="false">INDEX(Inputs!$E$2:$E$42,MATCH($A29,Inputs!$B$2:$B$42,0))</f>
        <v>1</v>
      </c>
      <c r="C29" s="4" t="n">
        <f aca="false">INDEX(Inputs!$F$2:$F$42,MATCH($A29,Inputs!$B$2:$B$42,0))</f>
        <v>1</v>
      </c>
      <c r="D29" s="8" t="n">
        <f aca="false">IF($A29=D$6,"-",MAX($B29*D$5,D$4*$C29))</f>
        <v>3</v>
      </c>
      <c r="E29" s="8" t="n">
        <f aca="false">IF($A29=E$6,"-",MAX($B29*E$5,E$4*$C29))</f>
        <v>3</v>
      </c>
      <c r="F29" s="8" t="n">
        <f aca="false">IF($A29=F$6,"-",MAX($B29*F$5,F$4*$C29))</f>
        <v>3</v>
      </c>
      <c r="G29" s="8" t="n">
        <f aca="false">IF($A29=G$6,"-",MAX($B29*G$5,G$4*$C29))</f>
        <v>3</v>
      </c>
      <c r="H29" s="8" t="n">
        <f aca="false">IF($A29=H$6,"-",MAX($B29*H$5,H$4*$C29))</f>
        <v>2</v>
      </c>
      <c r="I29" s="8" t="n">
        <f aca="false">IF($A29=I$6,"-",MAX($B29*I$5,I$4*$C29))</f>
        <v>2</v>
      </c>
      <c r="J29" s="8" t="n">
        <f aca="false">IF($A29=J$6,"-",MAX($B29*J$5,J$4*$C29))</f>
        <v>3</v>
      </c>
      <c r="K29" s="8" t="n">
        <f aca="false">IF($A29=K$6,"-",MAX($B29*K$5,K$4*$C29))</f>
        <v>1</v>
      </c>
      <c r="L29" s="8" t="n">
        <f aca="false">IF($A29=L$6,"-",MAX($B29*L$5,L$4*$C29))</f>
        <v>2</v>
      </c>
      <c r="M29" s="8" t="n">
        <f aca="false">IF($A29=M$6,"-",MAX($B29*M$5,M$4*$C29))</f>
        <v>3</v>
      </c>
      <c r="N29" s="8" t="n">
        <f aca="false">IF($A29=N$6,"-",MAX($B29*N$5,N$4*$C29))</f>
        <v>2</v>
      </c>
      <c r="O29" s="8" t="n">
        <f aca="false">IF($A29=O$6,"-",MAX($B29*O$5,O$4*$C29))</f>
        <v>2</v>
      </c>
      <c r="P29" s="8" t="n">
        <f aca="false">IF($A29=P$6,"-",MAX($B29*P$5,P$4*$C29))</f>
        <v>2</v>
      </c>
      <c r="Q29" s="8" t="n">
        <f aca="false">IF($A29=Q$6,"-",MAX($B29*Q$5,Q$4*$C29))</f>
        <v>3</v>
      </c>
      <c r="R29" s="8" t="n">
        <f aca="false">IF($A29=R$6,"-",MAX($B29*R$5,R$4*$C29))</f>
        <v>3</v>
      </c>
      <c r="S29" s="8" t="n">
        <f aca="false">IF($A29=S$6,"-",MAX($B29*S$5,S$4*$C29))</f>
        <v>2</v>
      </c>
      <c r="T29" s="8" t="n">
        <f aca="false">IF($A29=T$6,"-",MAX($B29*T$5,T$4*$C29))</f>
        <v>3</v>
      </c>
      <c r="U29" s="8" t="n">
        <f aca="false">IF($A29=U$6,"-",MAX($B29*U$5,U$4*$C29))</f>
        <v>3</v>
      </c>
      <c r="V29" s="8" t="n">
        <f aca="false">IF($A29=V$6,"-",MAX($B29*V$5,V$4*$C29))</f>
        <v>3</v>
      </c>
      <c r="W29" s="8" t="n">
        <f aca="false">IF($A29=W$6,"-",MAX($B29*W$5,W$4*$C29))</f>
        <v>3</v>
      </c>
      <c r="X29" s="8" t="n">
        <f aca="false">IF($A29=X$6,"-",MAX($B29*X$5,X$4*$C29))</f>
        <v>2</v>
      </c>
      <c r="Y29" s="8" t="n">
        <f aca="false">IF($A29=Y$6,"-",MAX($B29*Y$5,Y$4*$C29))</f>
        <v>1</v>
      </c>
      <c r="Z29" s="8" t="str">
        <f aca="false">IF($A29=Z$6,"-",MAX($B29*Z$5,Z$4*$C29))</f>
        <v>-</v>
      </c>
      <c r="AA29" s="8" t="n">
        <f aca="false">IF($A29=AA$6,"-",MAX($B29*AA$5,AA$4*$C29))</f>
        <v>3</v>
      </c>
    </row>
    <row r="30" customFormat="false" ht="15" hidden="false" customHeight="false" outlineLevel="0" collapsed="false">
      <c r="A30" s="7" t="s">
        <v>30</v>
      </c>
      <c r="B30" s="4" t="n">
        <f aca="false">INDEX(Inputs!$E$2:$E$42,MATCH($A30,Inputs!$B$2:$B$42,0))</f>
        <v>1</v>
      </c>
      <c r="C30" s="4" t="n">
        <f aca="false">INDEX(Inputs!$F$2:$F$42,MATCH($A30,Inputs!$B$2:$B$42,0))</f>
        <v>3</v>
      </c>
      <c r="D30" s="8" t="n">
        <f aca="false">IF($A30=D$6,"-",MAX($B30*D$5,D$4*$C30))</f>
        <v>9</v>
      </c>
      <c r="E30" s="8" t="n">
        <f aca="false">IF($A30=E$6,"-",MAX($B30*E$5,E$4*$C30))</f>
        <v>9</v>
      </c>
      <c r="F30" s="8" t="n">
        <f aca="false">IF($A30=F$6,"-",MAX($B30*F$5,F$4*$C30))</f>
        <v>9</v>
      </c>
      <c r="G30" s="8" t="n">
        <f aca="false">IF($A30=G$6,"-",MAX($B30*G$5,G$4*$C30))</f>
        <v>6</v>
      </c>
      <c r="H30" s="8" t="n">
        <f aca="false">IF($A30=H$6,"-",MAX($B30*H$5,H$4*$C30))</f>
        <v>3</v>
      </c>
      <c r="I30" s="8" t="n">
        <f aca="false">IF($A30=I$6,"-",MAX($B30*I$5,I$4*$C30))</f>
        <v>3</v>
      </c>
      <c r="J30" s="8" t="n">
        <f aca="false">IF($A30=J$6,"-",MAX($B30*J$5,J$4*$C30))</f>
        <v>9</v>
      </c>
      <c r="K30" s="8" t="n">
        <f aca="false">IF($A30=K$6,"-",MAX($B30*K$5,K$4*$C30))</f>
        <v>3</v>
      </c>
      <c r="L30" s="8" t="n">
        <f aca="false">IF($A30=L$6,"-",MAX($B30*L$5,L$4*$C30))</f>
        <v>6</v>
      </c>
      <c r="M30" s="8" t="n">
        <f aca="false">IF($A30=M$6,"-",MAX($B30*M$5,M$4*$C30))</f>
        <v>9</v>
      </c>
      <c r="N30" s="8" t="n">
        <f aca="false">IF($A30=N$6,"-",MAX($B30*N$5,N$4*$C30))</f>
        <v>3</v>
      </c>
      <c r="O30" s="8" t="n">
        <f aca="false">IF($A30=O$6,"-",MAX($B30*O$5,O$4*$C30))</f>
        <v>3</v>
      </c>
      <c r="P30" s="8" t="n">
        <f aca="false">IF($A30=P$6,"-",MAX($B30*P$5,P$4*$C30))</f>
        <v>6</v>
      </c>
      <c r="Q30" s="8" t="n">
        <f aca="false">IF($A30=Q$6,"-",MAX($B30*Q$5,Q$4*$C30))</f>
        <v>9</v>
      </c>
      <c r="R30" s="8" t="n">
        <f aca="false">IF($A30=R$6,"-",MAX($B30*R$5,R$4*$C30))</f>
        <v>9</v>
      </c>
      <c r="S30" s="8" t="n">
        <f aca="false">IF($A30=S$6,"-",MAX($B30*S$5,S$4*$C30))</f>
        <v>3</v>
      </c>
      <c r="T30" s="8" t="n">
        <f aca="false">IF($A30=T$6,"-",MAX($B30*T$5,T$4*$C30))</f>
        <v>9</v>
      </c>
      <c r="U30" s="8" t="n">
        <f aca="false">IF($A30=U$6,"-",MAX($B30*U$5,U$4*$C30))</f>
        <v>9</v>
      </c>
      <c r="V30" s="8" t="n">
        <f aca="false">IF($A30=V$6,"-",MAX($B30*V$5,V$4*$C30))</f>
        <v>9</v>
      </c>
      <c r="W30" s="8" t="n">
        <f aca="false">IF($A30=W$6,"-",MAX($B30*W$5,W$4*$C30))</f>
        <v>9</v>
      </c>
      <c r="X30" s="8" t="n">
        <f aca="false">IF($A30=X$6,"-",MAX($B30*X$5,X$4*$C30))</f>
        <v>3</v>
      </c>
      <c r="Y30" s="8" t="n">
        <f aca="false">IF($A30=Y$6,"-",MAX($B30*Y$5,Y$4*$C30))</f>
        <v>3</v>
      </c>
      <c r="Z30" s="8" t="n">
        <f aca="false">IF($A30=Z$6,"-",MAX($B30*Z$5,Z$4*$C30))</f>
        <v>3</v>
      </c>
      <c r="AA30" s="8" t="str">
        <f aca="false">IF($A30=AA$6,"-",MAX($B30*AA$5,AA$4*$C30))</f>
        <v>-</v>
      </c>
    </row>
    <row r="32" customFormat="false" ht="15" hidden="false" customHeight="false" outlineLevel="0" collapsed="false">
      <c r="A32" s="9" t="s">
        <v>31</v>
      </c>
    </row>
    <row r="33" customFormat="false" ht="15" hidden="false" customHeight="false" outlineLevel="0" collapsed="false">
      <c r="A33" s="10" t="s">
        <v>32</v>
      </c>
      <c r="B33" s="10"/>
      <c r="C33" s="10"/>
      <c r="D33" s="10"/>
      <c r="E33" s="10"/>
      <c r="F33" s="10"/>
      <c r="G33" s="10"/>
      <c r="H33" s="10"/>
    </row>
    <row r="34" customFormat="false" ht="15" hidden="false" customHeight="false" outlineLevel="0" collapsed="false">
      <c r="A34" s="11" t="s">
        <v>33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2" t="s">
        <v>34</v>
      </c>
      <c r="B35" s="12"/>
      <c r="C35" s="12"/>
      <c r="D35" s="12"/>
      <c r="E35" s="12"/>
      <c r="F35" s="12"/>
      <c r="G35" s="12"/>
      <c r="H35" s="12"/>
    </row>
    <row r="37" customFormat="false" ht="15" hidden="false" customHeight="false" outlineLevel="0" collapsed="false">
      <c r="A37" s="9" t="s">
        <v>35</v>
      </c>
    </row>
    <row r="38" customFormat="false" ht="15" hidden="false" customHeight="false" outlineLevel="0" collapsed="false">
      <c r="A38" s="13" t="s">
        <v>36</v>
      </c>
      <c r="B38" s="13"/>
      <c r="C38" s="13"/>
      <c r="D38" s="9" t="n">
        <f aca="false">(COUNTIFS(D7:AA30,"&gt;=1",D7:AA30,"&lt;=3"))/2</f>
        <v>87</v>
      </c>
    </row>
    <row r="39" customFormat="false" ht="15" hidden="false" customHeight="false" outlineLevel="0" collapsed="false">
      <c r="A39" s="13" t="s">
        <v>37</v>
      </c>
      <c r="B39" s="13"/>
      <c r="C39" s="13"/>
      <c r="D39" s="9" t="n">
        <f aca="false">(COUNTIFS(D7:AA30,"&gt;=4",D7:AA30,"&lt;=6"))/2</f>
        <v>148</v>
      </c>
    </row>
    <row r="40" customFormat="false" ht="15" hidden="false" customHeight="false" outlineLevel="0" collapsed="false">
      <c r="A40" s="13" t="s">
        <v>38</v>
      </c>
      <c r="B40" s="13"/>
      <c r="C40" s="13"/>
      <c r="D40" s="9" t="n">
        <f aca="false">(COUNTIFS(D7:AA30,"&gt;=7",D7:AA30,"&lt;=9"))/2</f>
        <v>41</v>
      </c>
    </row>
  </sheetData>
  <mergeCells count="6">
    <mergeCell ref="A33:H33"/>
    <mergeCell ref="A34:H34"/>
    <mergeCell ref="A35:H35"/>
    <mergeCell ref="A38:C38"/>
    <mergeCell ref="A39:C39"/>
    <mergeCell ref="A40:C40"/>
  </mergeCells>
  <conditionalFormatting sqref="D7:AA30">
    <cfRule type="cellIs" priority="2" operator="between" aboveAverage="0" equalAverage="0" bottom="0" percent="0" rank="0" text="" dxfId="0">
      <formula>1</formula>
      <formula>3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greaterThanOrEqual" aboveAverage="0" equalAverage="0" bottom="0" percent="0" rank="0" text="" dxfId="2">
      <formula>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20" min="4" style="0" width="6.51"/>
  </cols>
  <sheetData>
    <row r="1" customFormat="false" ht="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 t="n">
        <f aca="false">INDEX(Inputs!$E$2:$E$42,MATCH(D$6,Inputs!$B$2:$B$42,0))</f>
        <v>1</v>
      </c>
      <c r="E4" s="4" t="n">
        <f aca="false">INDEX(Inputs!$E$2:$E$42,MATCH(E$6,Inputs!$B$2:$B$42,0))</f>
        <v>1</v>
      </c>
      <c r="F4" s="4" t="n">
        <f aca="false">INDEX(Inputs!$E$2:$E$42,MATCH(F$6,Inputs!$B$2:$B$42,0))</f>
        <v>1</v>
      </c>
      <c r="G4" s="4" t="n">
        <f aca="false">INDEX(Inputs!$E$2:$E$42,MATCH(G$6,Inputs!$B$2:$B$42,0))</f>
        <v>1</v>
      </c>
      <c r="H4" s="4" t="n">
        <f aca="false">INDEX(Inputs!$E$2:$E$42,MATCH(H$6,Inputs!$B$2:$B$42,0))</f>
        <v>1</v>
      </c>
      <c r="I4" s="4" t="n">
        <f aca="false">INDEX(Inputs!$E$2:$E$42,MATCH(I$6,Inputs!$B$2:$B$42,0))</f>
        <v>1</v>
      </c>
      <c r="J4" s="4" t="n">
        <f aca="false">INDEX(Inputs!$E$2:$E$42,MATCH(J$6,Inputs!$B$2:$B$42,0))</f>
        <v>1</v>
      </c>
      <c r="K4" s="4" t="n">
        <f aca="false">INDEX(Inputs!$E$2:$E$42,MATCH(K$6,Inputs!$B$2:$B$42,0))</f>
        <v>1</v>
      </c>
      <c r="L4" s="4" t="n">
        <f aca="false">INDEX(Inputs!$E$2:$E$42,MATCH(L$6,Inputs!$B$2:$B$42,0))</f>
        <v>1</v>
      </c>
      <c r="M4" s="4" t="n">
        <f aca="false">INDEX(Inputs!$E$2:$E$42,MATCH(M$6,Inputs!$B$2:$B$42,0))</f>
        <v>1</v>
      </c>
      <c r="N4" s="4" t="n">
        <f aca="false">INDEX(Inputs!$E$2:$E$42,MATCH(N$6,Inputs!$B$2:$B$42,0))</f>
        <v>1</v>
      </c>
      <c r="O4" s="4" t="n">
        <f aca="false">INDEX(Inputs!$E$2:$E$42,MATCH(O$6,Inputs!$B$2:$B$42,0))</f>
        <v>1</v>
      </c>
      <c r="P4" s="4" t="n">
        <f aca="false">INDEX(Inputs!$E$2:$E$42,MATCH(P$6,Inputs!$B$2:$B$42,0))</f>
        <v>1</v>
      </c>
      <c r="Q4" s="4" t="n">
        <f aca="false">INDEX(Inputs!$E$2:$E$42,MATCH(Q$6,Inputs!$B$2:$B$42,0))</f>
        <v>1</v>
      </c>
      <c r="R4" s="4" t="n">
        <f aca="false">INDEX(Inputs!$E$2:$E$42,MATCH(R$6,Inputs!$B$2:$B$42,0))</f>
        <v>1</v>
      </c>
      <c r="S4" s="4" t="n">
        <f aca="false">INDEX(Inputs!$E$2:$E$42,MATCH(S$6,Inputs!$B$2:$B$42,0))</f>
        <v>2</v>
      </c>
      <c r="T4" s="4" t="n">
        <f aca="false">INDEX(Inputs!$E$2:$E$42,MATCH(T$6,Inputs!$B$2:$B$42,0))</f>
        <v>1</v>
      </c>
    </row>
    <row r="5" customFormat="false" ht="15" hidden="false" customHeight="false" outlineLevel="0" collapsed="false">
      <c r="A5" s="3" t="s">
        <v>3</v>
      </c>
      <c r="B5" s="4"/>
      <c r="C5" s="4"/>
      <c r="D5" s="4" t="n">
        <f aca="false">INDEX(Inputs!$F$2:$F$42,MATCH(D$6,Inputs!$B$2:$B$42,0))</f>
        <v>3</v>
      </c>
      <c r="E5" s="4" t="n">
        <f aca="false">INDEX(Inputs!$F$2:$F$42,MATCH(E$6,Inputs!$B$2:$B$42,0))</f>
        <v>3</v>
      </c>
      <c r="F5" s="4" t="n">
        <f aca="false">INDEX(Inputs!$F$2:$F$42,MATCH(F$6,Inputs!$B$2:$B$42,0))</f>
        <v>3</v>
      </c>
      <c r="G5" s="4" t="n">
        <f aca="false">INDEX(Inputs!$F$2:$F$42,MATCH(G$6,Inputs!$B$2:$B$42,0))</f>
        <v>2</v>
      </c>
      <c r="H5" s="4" t="n">
        <f aca="false">INDEX(Inputs!$F$2:$F$42,MATCH(H$6,Inputs!$B$2:$B$42,0))</f>
        <v>3</v>
      </c>
      <c r="I5" s="4" t="n">
        <f aca="false">INDEX(Inputs!$F$2:$F$42,MATCH(I$6,Inputs!$B$2:$B$42,0))</f>
        <v>3</v>
      </c>
      <c r="J5" s="4" t="n">
        <f aca="false">INDEX(Inputs!$F$2:$F$42,MATCH(J$6,Inputs!$B$2:$B$42,0))</f>
        <v>1</v>
      </c>
      <c r="K5" s="4" t="n">
        <f aca="false">INDEX(Inputs!$F$2:$F$42,MATCH(K$6,Inputs!$B$2:$B$42,0))</f>
        <v>2</v>
      </c>
      <c r="L5" s="4" t="n">
        <f aca="false">INDEX(Inputs!$F$2:$F$42,MATCH(L$6,Inputs!$B$2:$B$42,0))</f>
        <v>3</v>
      </c>
      <c r="M5" s="4" t="n">
        <f aca="false">INDEX(Inputs!$F$2:$F$42,MATCH(M$6,Inputs!$B$2:$B$42,0))</f>
        <v>3</v>
      </c>
      <c r="N5" s="4" t="n">
        <f aca="false">INDEX(Inputs!$F$2:$F$42,MATCH(N$6,Inputs!$B$2:$B$42,0))</f>
        <v>1</v>
      </c>
      <c r="O5" s="4" t="n">
        <f aca="false">INDEX(Inputs!$F$2:$F$42,MATCH(O$6,Inputs!$B$2:$B$42,0))</f>
        <v>2</v>
      </c>
      <c r="P5" s="4" t="n">
        <f aca="false">INDEX(Inputs!$F$2:$F$42,MATCH(P$6,Inputs!$B$2:$B$42,0))</f>
        <v>1</v>
      </c>
      <c r="Q5" s="4" t="n">
        <f aca="false">INDEX(Inputs!$F$2:$F$42,MATCH(Q$6,Inputs!$B$2:$B$42,0))</f>
        <v>2</v>
      </c>
      <c r="R5" s="4" t="n">
        <f aca="false">INDEX(Inputs!$F$2:$F$42,MATCH(R$6,Inputs!$B$2:$B$42,0))</f>
        <v>1</v>
      </c>
      <c r="S5" s="4" t="n">
        <f aca="false">INDEX(Inputs!$F$2:$F$42,MATCH(S$6,Inputs!$B$2:$B$42,0))</f>
        <v>3</v>
      </c>
      <c r="T5" s="4" t="n">
        <f aca="false">INDEX(Inputs!$F$2:$F$42,MATCH(T$6,Inputs!$B$2:$B$42,0))</f>
        <v>2</v>
      </c>
    </row>
    <row r="6" customFormat="false" ht="94.5" hidden="false" customHeight="true" outlineLevel="0" collapsed="false">
      <c r="A6" s="5" t="s">
        <v>4</v>
      </c>
      <c r="B6" s="5" t="s">
        <v>5</v>
      </c>
      <c r="C6" s="5" t="s">
        <v>6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6" t="s">
        <v>45</v>
      </c>
      <c r="J6" s="6" t="s">
        <v>46</v>
      </c>
      <c r="K6" s="6" t="s">
        <v>47</v>
      </c>
      <c r="L6" s="6" t="s">
        <v>48</v>
      </c>
      <c r="M6" s="6" t="s">
        <v>49</v>
      </c>
      <c r="N6" s="6" t="s">
        <v>50</v>
      </c>
      <c r="O6" s="6" t="s">
        <v>51</v>
      </c>
      <c r="P6" s="6" t="s">
        <v>52</v>
      </c>
      <c r="Q6" s="6" t="s">
        <v>53</v>
      </c>
      <c r="R6" s="6" t="s">
        <v>54</v>
      </c>
      <c r="S6" s="6" t="s">
        <v>55</v>
      </c>
      <c r="T6" s="6" t="s">
        <v>56</v>
      </c>
    </row>
    <row r="7" customFormat="false" ht="15" hidden="false" customHeight="false" outlineLevel="0" collapsed="false">
      <c r="A7" s="7" t="s">
        <v>40</v>
      </c>
      <c r="B7" s="4" t="n">
        <f aca="false">INDEX(Inputs!$E$2:$E$42,MATCH($A7,Inputs!$B$2:$B$42,0))</f>
        <v>1</v>
      </c>
      <c r="C7" s="4" t="n">
        <f aca="false">INDEX(Inputs!$F$2:$F$42,MATCH($A7,Inputs!$B$2:$B$42,0))</f>
        <v>3</v>
      </c>
      <c r="D7" s="8" t="str">
        <f aca="false">IF($A7=D$6,"-",MAX($B7*D$5,D$4*$C7))</f>
        <v>-</v>
      </c>
      <c r="E7" s="8" t="n">
        <f aca="false">IF($A7=E$6,"-",MAX($B7*E$5,E$4*$C7))</f>
        <v>3</v>
      </c>
      <c r="F7" s="8" t="n">
        <f aca="false">IF($A7=F$6,"-",MAX($B7*F$5,F$4*$C7))</f>
        <v>3</v>
      </c>
      <c r="G7" s="8" t="n">
        <f aca="false">IF($A7=G$6,"-",MAX($B7*G$5,G$4*$C7))</f>
        <v>3</v>
      </c>
      <c r="H7" s="8" t="n">
        <f aca="false">IF($A7=H$6,"-",MAX($B7*H$5,H$4*$C7))</f>
        <v>3</v>
      </c>
      <c r="I7" s="8" t="n">
        <f aca="false">IF($A7=I$6,"-",MAX($B7*I$5,I$4*$C7))</f>
        <v>3</v>
      </c>
      <c r="J7" s="8" t="n">
        <f aca="false">IF($A7=J$6,"-",MAX($B7*J$5,J$4*$C7))</f>
        <v>3</v>
      </c>
      <c r="K7" s="8" t="n">
        <f aca="false">IF($A7=K$6,"-",MAX($B7*K$5,K$4*$C7))</f>
        <v>3</v>
      </c>
      <c r="L7" s="8" t="n">
        <f aca="false">IF($A7=L$6,"-",MAX($B7*L$5,L$4*$C7))</f>
        <v>3</v>
      </c>
      <c r="M7" s="8" t="n">
        <f aca="false">IF($A7=M$6,"-",MAX($B7*M$5,M$4*$C7))</f>
        <v>3</v>
      </c>
      <c r="N7" s="8" t="n">
        <f aca="false">IF($A7=N$6,"-",MAX($B7*N$5,N$4*$C7))</f>
        <v>3</v>
      </c>
      <c r="O7" s="8" t="n">
        <f aca="false">IF($A7=O$6,"-",MAX($B7*O$5,O$4*$C7))</f>
        <v>3</v>
      </c>
      <c r="P7" s="8" t="n">
        <f aca="false">IF($A7=P$6,"-",MAX($B7*P$5,P$4*$C7))</f>
        <v>3</v>
      </c>
      <c r="Q7" s="8" t="n">
        <f aca="false">IF($A7=Q$6,"-",MAX($B7*Q$5,Q$4*$C7))</f>
        <v>3</v>
      </c>
      <c r="R7" s="8" t="n">
        <f aca="false">IF($A7=R$6,"-",MAX($B7*R$5,R$4*$C7))</f>
        <v>3</v>
      </c>
      <c r="S7" s="8" t="n">
        <f aca="false">IF($A7=S$6,"-",MAX($B7*S$5,S$4*$C7))</f>
        <v>6</v>
      </c>
      <c r="T7" s="8" t="n">
        <f aca="false">IF($A7=T$6,"-",MAX($B7*T$5,T$4*$C7))</f>
        <v>3</v>
      </c>
    </row>
    <row r="8" customFormat="false" ht="15" hidden="false" customHeight="false" outlineLevel="0" collapsed="false">
      <c r="A8" s="7" t="s">
        <v>41</v>
      </c>
      <c r="B8" s="4" t="n">
        <f aca="false">INDEX(Inputs!$E$2:$E$42,MATCH($A8,Inputs!$B$2:$B$42,0))</f>
        <v>1</v>
      </c>
      <c r="C8" s="4" t="n">
        <f aca="false">INDEX(Inputs!$F$2:$F$42,MATCH($A8,Inputs!$B$2:$B$42,0))</f>
        <v>3</v>
      </c>
      <c r="D8" s="8" t="n">
        <f aca="false">IF($A8=D$6,"-",MAX($B8*D$5,D$4*$C8))</f>
        <v>3</v>
      </c>
      <c r="E8" s="8" t="str">
        <f aca="false">IF($A8=E$6,"-",MAX($B8*E$5,E$4*$C8))</f>
        <v>-</v>
      </c>
      <c r="F8" s="8" t="n">
        <f aca="false">IF($A8=F$6,"-",MAX($B8*F$5,F$4*$C8))</f>
        <v>3</v>
      </c>
      <c r="G8" s="8" t="n">
        <f aca="false">IF($A8=G$6,"-",MAX($B8*G$5,G$4*$C8))</f>
        <v>3</v>
      </c>
      <c r="H8" s="8" t="n">
        <f aca="false">IF($A8=H$6,"-",MAX($B8*H$5,H$4*$C8))</f>
        <v>3</v>
      </c>
      <c r="I8" s="8" t="n">
        <f aca="false">IF($A8=I$6,"-",MAX($B8*I$5,I$4*$C8))</f>
        <v>3</v>
      </c>
      <c r="J8" s="8" t="n">
        <f aca="false">IF($A8=J$6,"-",MAX($B8*J$5,J$4*$C8))</f>
        <v>3</v>
      </c>
      <c r="K8" s="8" t="n">
        <f aca="false">IF($A8=K$6,"-",MAX($B8*K$5,K$4*$C8))</f>
        <v>3</v>
      </c>
      <c r="L8" s="8" t="n">
        <f aca="false">IF($A8=L$6,"-",MAX($B8*L$5,L$4*$C8))</f>
        <v>3</v>
      </c>
      <c r="M8" s="8" t="n">
        <f aca="false">IF($A8=M$6,"-",MAX($B8*M$5,M$4*$C8))</f>
        <v>3</v>
      </c>
      <c r="N8" s="8" t="n">
        <f aca="false">IF($A8=N$6,"-",MAX($B8*N$5,N$4*$C8))</f>
        <v>3</v>
      </c>
      <c r="O8" s="8" t="n">
        <f aca="false">IF($A8=O$6,"-",MAX($B8*O$5,O$4*$C8))</f>
        <v>3</v>
      </c>
      <c r="P8" s="8" t="n">
        <f aca="false">IF($A8=P$6,"-",MAX($B8*P$5,P$4*$C8))</f>
        <v>3</v>
      </c>
      <c r="Q8" s="8" t="n">
        <f aca="false">IF($A8=Q$6,"-",MAX($B8*Q$5,Q$4*$C8))</f>
        <v>3</v>
      </c>
      <c r="R8" s="8" t="n">
        <f aca="false">IF($A8=R$6,"-",MAX($B8*R$5,R$4*$C8))</f>
        <v>3</v>
      </c>
      <c r="S8" s="8" t="n">
        <f aca="false">IF($A8=S$6,"-",MAX($B8*S$5,S$4*$C8))</f>
        <v>6</v>
      </c>
      <c r="T8" s="8" t="n">
        <f aca="false">IF($A8=T$6,"-",MAX($B8*T$5,T$4*$C8))</f>
        <v>3</v>
      </c>
    </row>
    <row r="9" customFormat="false" ht="15" hidden="false" customHeight="false" outlineLevel="0" collapsed="false">
      <c r="A9" s="7" t="s">
        <v>42</v>
      </c>
      <c r="B9" s="4" t="n">
        <f aca="false">INDEX(Inputs!$E$2:$E$42,MATCH($A9,Inputs!$B$2:$B$42,0))</f>
        <v>1</v>
      </c>
      <c r="C9" s="4" t="n">
        <f aca="false">INDEX(Inputs!$F$2:$F$42,MATCH($A9,Inputs!$B$2:$B$42,0))</f>
        <v>3</v>
      </c>
      <c r="D9" s="8" t="n">
        <f aca="false">IF($A9=D$6,"-",MAX($B9*D$5,D$4*$C9))</f>
        <v>3</v>
      </c>
      <c r="E9" s="8" t="n">
        <f aca="false">IF($A9=E$6,"-",MAX($B9*E$5,E$4*$C9))</f>
        <v>3</v>
      </c>
      <c r="F9" s="8" t="str">
        <f aca="false">IF($A9=F$6,"-",MAX($B9*F$5,F$4*$C9))</f>
        <v>-</v>
      </c>
      <c r="G9" s="8" t="n">
        <f aca="false">IF($A9=G$6,"-",MAX($B9*G$5,G$4*$C9))</f>
        <v>3</v>
      </c>
      <c r="H9" s="8" t="n">
        <f aca="false">IF($A9=H$6,"-",MAX($B9*H$5,H$4*$C9))</f>
        <v>3</v>
      </c>
      <c r="I9" s="8" t="n">
        <f aca="false">IF($A9=I$6,"-",MAX($B9*I$5,I$4*$C9))</f>
        <v>3</v>
      </c>
      <c r="J9" s="8" t="n">
        <f aca="false">IF($A9=J$6,"-",MAX($B9*J$5,J$4*$C9))</f>
        <v>3</v>
      </c>
      <c r="K9" s="8" t="n">
        <f aca="false">IF($A9=K$6,"-",MAX($B9*K$5,K$4*$C9))</f>
        <v>3</v>
      </c>
      <c r="L9" s="8" t="n">
        <f aca="false">IF($A9=L$6,"-",MAX($B9*L$5,L$4*$C9))</f>
        <v>3</v>
      </c>
      <c r="M9" s="8" t="n">
        <f aca="false">IF($A9=M$6,"-",MAX($B9*M$5,M$4*$C9))</f>
        <v>3</v>
      </c>
      <c r="N9" s="8" t="n">
        <f aca="false">IF($A9=N$6,"-",MAX($B9*N$5,N$4*$C9))</f>
        <v>3</v>
      </c>
      <c r="O9" s="8" t="n">
        <f aca="false">IF($A9=O$6,"-",MAX($B9*O$5,O$4*$C9))</f>
        <v>3</v>
      </c>
      <c r="P9" s="8" t="n">
        <f aca="false">IF($A9=P$6,"-",MAX($B9*P$5,P$4*$C9))</f>
        <v>3</v>
      </c>
      <c r="Q9" s="8" t="n">
        <f aca="false">IF($A9=Q$6,"-",MAX($B9*Q$5,Q$4*$C9))</f>
        <v>3</v>
      </c>
      <c r="R9" s="8" t="n">
        <f aca="false">IF($A9=R$6,"-",MAX($B9*R$5,R$4*$C9))</f>
        <v>3</v>
      </c>
      <c r="S9" s="8" t="n">
        <f aca="false">IF($A9=S$6,"-",MAX($B9*S$5,S$4*$C9))</f>
        <v>6</v>
      </c>
      <c r="T9" s="8" t="n">
        <f aca="false">IF($A9=T$6,"-",MAX($B9*T$5,T$4*$C9))</f>
        <v>3</v>
      </c>
    </row>
    <row r="10" customFormat="false" ht="15" hidden="false" customHeight="false" outlineLevel="0" collapsed="false">
      <c r="A10" s="7" t="s">
        <v>43</v>
      </c>
      <c r="B10" s="4" t="n">
        <f aca="false">INDEX(Inputs!$E$2:$E$42,MATCH($A10,Inputs!$B$2:$B$42,0))</f>
        <v>1</v>
      </c>
      <c r="C10" s="4" t="n">
        <f aca="false">INDEX(Inputs!$F$2:$F$42,MATCH($A10,Inputs!$B$2:$B$42,0))</f>
        <v>2</v>
      </c>
      <c r="D10" s="8" t="n">
        <f aca="false">IF($A10=D$6,"-",MAX($B10*D$5,D$4*$C10))</f>
        <v>3</v>
      </c>
      <c r="E10" s="8" t="n">
        <f aca="false">IF($A10=E$6,"-",MAX($B10*E$5,E$4*$C10))</f>
        <v>3</v>
      </c>
      <c r="F10" s="8" t="n">
        <f aca="false">IF($A10=F$6,"-",MAX($B10*F$5,F$4*$C10))</f>
        <v>3</v>
      </c>
      <c r="G10" s="8" t="str">
        <f aca="false">IF($A10=G$6,"-",MAX($B10*G$5,G$4*$C10))</f>
        <v>-</v>
      </c>
      <c r="H10" s="8" t="n">
        <f aca="false">IF($A10=H$6,"-",MAX($B10*H$5,H$4*$C10))</f>
        <v>3</v>
      </c>
      <c r="I10" s="8" t="n">
        <f aca="false">IF($A10=I$6,"-",MAX($B10*I$5,I$4*$C10))</f>
        <v>3</v>
      </c>
      <c r="J10" s="8" t="n">
        <f aca="false">IF($A10=J$6,"-",MAX($B10*J$5,J$4*$C10))</f>
        <v>2</v>
      </c>
      <c r="K10" s="8" t="n">
        <f aca="false">IF($A10=K$6,"-",MAX($B10*K$5,K$4*$C10))</f>
        <v>2</v>
      </c>
      <c r="L10" s="8" t="n">
        <f aca="false">IF($A10=L$6,"-",MAX($B10*L$5,L$4*$C10))</f>
        <v>3</v>
      </c>
      <c r="M10" s="8" t="n">
        <f aca="false">IF($A10=M$6,"-",MAX($B10*M$5,M$4*$C10))</f>
        <v>3</v>
      </c>
      <c r="N10" s="8" t="n">
        <f aca="false">IF($A10=N$6,"-",MAX($B10*N$5,N$4*$C10))</f>
        <v>2</v>
      </c>
      <c r="O10" s="8" t="n">
        <f aca="false">IF($A10=O$6,"-",MAX($B10*O$5,O$4*$C10))</f>
        <v>2</v>
      </c>
      <c r="P10" s="8" t="n">
        <f aca="false">IF($A10=P$6,"-",MAX($B10*P$5,P$4*$C10))</f>
        <v>2</v>
      </c>
      <c r="Q10" s="8" t="n">
        <f aca="false">IF($A10=Q$6,"-",MAX($B10*Q$5,Q$4*$C10))</f>
        <v>2</v>
      </c>
      <c r="R10" s="8" t="n">
        <f aca="false">IF($A10=R$6,"-",MAX($B10*R$5,R$4*$C10))</f>
        <v>2</v>
      </c>
      <c r="S10" s="8" t="n">
        <f aca="false">IF($A10=S$6,"-",MAX($B10*S$5,S$4*$C10))</f>
        <v>4</v>
      </c>
      <c r="T10" s="8" t="n">
        <f aca="false">IF($A10=T$6,"-",MAX($B10*T$5,T$4*$C10))</f>
        <v>2</v>
      </c>
    </row>
    <row r="11" customFormat="false" ht="15" hidden="false" customHeight="false" outlineLevel="0" collapsed="false">
      <c r="A11" s="7" t="s">
        <v>44</v>
      </c>
      <c r="B11" s="4" t="n">
        <f aca="false">INDEX(Inputs!$E$2:$E$42,MATCH($A11,Inputs!$B$2:$B$42,0))</f>
        <v>1</v>
      </c>
      <c r="C11" s="4" t="n">
        <f aca="false">INDEX(Inputs!$F$2:$F$42,MATCH($A11,Inputs!$B$2:$B$42,0))</f>
        <v>3</v>
      </c>
      <c r="D11" s="8" t="n">
        <f aca="false">IF($A11=D$6,"-",MAX($B11*D$5,D$4*$C11))</f>
        <v>3</v>
      </c>
      <c r="E11" s="8" t="n">
        <f aca="false">IF($A11=E$6,"-",MAX($B11*E$5,E$4*$C11))</f>
        <v>3</v>
      </c>
      <c r="F11" s="8" t="n">
        <f aca="false">IF($A11=F$6,"-",MAX($B11*F$5,F$4*$C11))</f>
        <v>3</v>
      </c>
      <c r="G11" s="8" t="n">
        <f aca="false">IF($A11=G$6,"-",MAX($B11*G$5,G$4*$C11))</f>
        <v>3</v>
      </c>
      <c r="H11" s="8" t="str">
        <f aca="false">IF($A11=H$6,"-",MAX($B11*H$5,H$4*$C11))</f>
        <v>-</v>
      </c>
      <c r="I11" s="8" t="n">
        <f aca="false">IF($A11=I$6,"-",MAX($B11*I$5,I$4*$C11))</f>
        <v>3</v>
      </c>
      <c r="J11" s="8" t="n">
        <f aca="false">IF($A11=J$6,"-",MAX($B11*J$5,J$4*$C11))</f>
        <v>3</v>
      </c>
      <c r="K11" s="8" t="n">
        <f aca="false">IF($A11=K$6,"-",MAX($B11*K$5,K$4*$C11))</f>
        <v>3</v>
      </c>
      <c r="L11" s="8" t="n">
        <f aca="false">IF($A11=L$6,"-",MAX($B11*L$5,L$4*$C11))</f>
        <v>3</v>
      </c>
      <c r="M11" s="8" t="n">
        <f aca="false">IF($A11=M$6,"-",MAX($B11*M$5,M$4*$C11))</f>
        <v>3</v>
      </c>
      <c r="N11" s="8" t="n">
        <f aca="false">IF($A11=N$6,"-",MAX($B11*N$5,N$4*$C11))</f>
        <v>3</v>
      </c>
      <c r="O11" s="8" t="n">
        <f aca="false">IF($A11=O$6,"-",MAX($B11*O$5,O$4*$C11))</f>
        <v>3</v>
      </c>
      <c r="P11" s="8" t="n">
        <f aca="false">IF($A11=P$6,"-",MAX($B11*P$5,P$4*$C11))</f>
        <v>3</v>
      </c>
      <c r="Q11" s="8" t="n">
        <f aca="false">IF($A11=Q$6,"-",MAX($B11*Q$5,Q$4*$C11))</f>
        <v>3</v>
      </c>
      <c r="R11" s="8" t="n">
        <f aca="false">IF($A11=R$6,"-",MAX($B11*R$5,R$4*$C11))</f>
        <v>3</v>
      </c>
      <c r="S11" s="8" t="n">
        <f aca="false">IF($A11=S$6,"-",MAX($B11*S$5,S$4*$C11))</f>
        <v>6</v>
      </c>
      <c r="T11" s="8" t="n">
        <f aca="false">IF($A11=T$6,"-",MAX($B11*T$5,T$4*$C11))</f>
        <v>3</v>
      </c>
    </row>
    <row r="12" customFormat="false" ht="15" hidden="false" customHeight="false" outlineLevel="0" collapsed="false">
      <c r="A12" s="7" t="s">
        <v>45</v>
      </c>
      <c r="B12" s="4" t="n">
        <f aca="false">INDEX(Inputs!$E$2:$E$42,MATCH($A12,Inputs!$B$2:$B$42,0))</f>
        <v>1</v>
      </c>
      <c r="C12" s="4" t="n">
        <f aca="false">INDEX(Inputs!$F$2:$F$42,MATCH($A12,Inputs!$B$2:$B$42,0))</f>
        <v>3</v>
      </c>
      <c r="D12" s="8" t="n">
        <f aca="false">IF($A12=D$6,"-",MAX($B12*D$5,D$4*$C12))</f>
        <v>3</v>
      </c>
      <c r="E12" s="8" t="n">
        <f aca="false">IF($A12=E$6,"-",MAX($B12*E$5,E$4*$C12))</f>
        <v>3</v>
      </c>
      <c r="F12" s="8" t="n">
        <f aca="false">IF($A12=F$6,"-",MAX($B12*F$5,F$4*$C12))</f>
        <v>3</v>
      </c>
      <c r="G12" s="8" t="n">
        <f aca="false">IF($A12=G$6,"-",MAX($B12*G$5,G$4*$C12))</f>
        <v>3</v>
      </c>
      <c r="H12" s="8" t="n">
        <f aca="false">IF($A12=H$6,"-",MAX($B12*H$5,H$4*$C12))</f>
        <v>3</v>
      </c>
      <c r="I12" s="8" t="str">
        <f aca="false">IF($A12=I$6,"-",MAX($B12*I$5,I$4*$C12))</f>
        <v>-</v>
      </c>
      <c r="J12" s="8" t="n">
        <f aca="false">IF($A12=J$6,"-",MAX($B12*J$5,J$4*$C12))</f>
        <v>3</v>
      </c>
      <c r="K12" s="8" t="n">
        <f aca="false">IF($A12=K$6,"-",MAX($B12*K$5,K$4*$C12))</f>
        <v>3</v>
      </c>
      <c r="L12" s="8" t="n">
        <f aca="false">IF($A12=L$6,"-",MAX($B12*L$5,L$4*$C12))</f>
        <v>3</v>
      </c>
      <c r="M12" s="8" t="n">
        <f aca="false">IF($A12=M$6,"-",MAX($B12*M$5,M$4*$C12))</f>
        <v>3</v>
      </c>
      <c r="N12" s="8" t="n">
        <f aca="false">IF($A12=N$6,"-",MAX($B12*N$5,N$4*$C12))</f>
        <v>3</v>
      </c>
      <c r="O12" s="8" t="n">
        <f aca="false">IF($A12=O$6,"-",MAX($B12*O$5,O$4*$C12))</f>
        <v>3</v>
      </c>
      <c r="P12" s="8" t="n">
        <f aca="false">IF($A12=P$6,"-",MAX($B12*P$5,P$4*$C12))</f>
        <v>3</v>
      </c>
      <c r="Q12" s="8" t="n">
        <f aca="false">IF($A12=Q$6,"-",MAX($B12*Q$5,Q$4*$C12))</f>
        <v>3</v>
      </c>
      <c r="R12" s="8" t="n">
        <f aca="false">IF($A12=R$6,"-",MAX($B12*R$5,R$4*$C12))</f>
        <v>3</v>
      </c>
      <c r="S12" s="8" t="n">
        <f aca="false">IF($A12=S$6,"-",MAX($B12*S$5,S$4*$C12))</f>
        <v>6</v>
      </c>
      <c r="T12" s="8" t="n">
        <f aca="false">IF($A12=T$6,"-",MAX($B12*T$5,T$4*$C12))</f>
        <v>3</v>
      </c>
    </row>
    <row r="13" customFormat="false" ht="15" hidden="false" customHeight="false" outlineLevel="0" collapsed="false">
      <c r="A13" s="7" t="s">
        <v>46</v>
      </c>
      <c r="B13" s="4" t="n">
        <f aca="false">INDEX(Inputs!$E$2:$E$42,MATCH($A13,Inputs!$B$2:$B$42,0))</f>
        <v>1</v>
      </c>
      <c r="C13" s="4" t="n">
        <f aca="false">INDEX(Inputs!$F$2:$F$42,MATCH($A13,Inputs!$B$2:$B$42,0))</f>
        <v>1</v>
      </c>
      <c r="D13" s="8" t="n">
        <f aca="false">IF($A13=D$6,"-",MAX($B13*D$5,D$4*$C13))</f>
        <v>3</v>
      </c>
      <c r="E13" s="8" t="n">
        <f aca="false">IF($A13=E$6,"-",MAX($B13*E$5,E$4*$C13))</f>
        <v>3</v>
      </c>
      <c r="F13" s="8" t="n">
        <f aca="false">IF($A13=F$6,"-",MAX($B13*F$5,F$4*$C13))</f>
        <v>3</v>
      </c>
      <c r="G13" s="8" t="n">
        <f aca="false">IF($A13=G$6,"-",MAX($B13*G$5,G$4*$C13))</f>
        <v>2</v>
      </c>
      <c r="H13" s="8" t="n">
        <f aca="false">IF($A13=H$6,"-",MAX($B13*H$5,H$4*$C13))</f>
        <v>3</v>
      </c>
      <c r="I13" s="8" t="n">
        <f aca="false">IF($A13=I$6,"-",MAX($B13*I$5,I$4*$C13))</f>
        <v>3</v>
      </c>
      <c r="J13" s="8" t="str">
        <f aca="false">IF($A13=J$6,"-",MAX($B13*J$5,J$4*$C13))</f>
        <v>-</v>
      </c>
      <c r="K13" s="8" t="n">
        <f aca="false">IF($A13=K$6,"-",MAX($B13*K$5,K$4*$C13))</f>
        <v>2</v>
      </c>
      <c r="L13" s="8" t="n">
        <f aca="false">IF($A13=L$6,"-",MAX($B13*L$5,L$4*$C13))</f>
        <v>3</v>
      </c>
      <c r="M13" s="8" t="n">
        <f aca="false">IF($A13=M$6,"-",MAX($B13*M$5,M$4*$C13))</f>
        <v>3</v>
      </c>
      <c r="N13" s="8" t="n">
        <f aca="false">IF($A13=N$6,"-",MAX($B13*N$5,N$4*$C13))</f>
        <v>1</v>
      </c>
      <c r="O13" s="8" t="n">
        <f aca="false">IF($A13=O$6,"-",MAX($B13*O$5,O$4*$C13))</f>
        <v>2</v>
      </c>
      <c r="P13" s="8" t="n">
        <f aca="false">IF($A13=P$6,"-",MAX($B13*P$5,P$4*$C13))</f>
        <v>1</v>
      </c>
      <c r="Q13" s="8" t="n">
        <f aca="false">IF($A13=Q$6,"-",MAX($B13*Q$5,Q$4*$C13))</f>
        <v>2</v>
      </c>
      <c r="R13" s="8" t="n">
        <f aca="false">IF($A13=R$6,"-",MAX($B13*R$5,R$4*$C13))</f>
        <v>1</v>
      </c>
      <c r="S13" s="8" t="n">
        <f aca="false">IF($A13=S$6,"-",MAX($B13*S$5,S$4*$C13))</f>
        <v>3</v>
      </c>
      <c r="T13" s="8" t="n">
        <f aca="false">IF($A13=T$6,"-",MAX($B13*T$5,T$4*$C13))</f>
        <v>2</v>
      </c>
    </row>
    <row r="14" customFormat="false" ht="15" hidden="false" customHeight="false" outlineLevel="0" collapsed="false">
      <c r="A14" s="7" t="s">
        <v>47</v>
      </c>
      <c r="B14" s="4" t="n">
        <f aca="false">INDEX(Inputs!$E$2:$E$42,MATCH($A14,Inputs!$B$2:$B$42,0))</f>
        <v>1</v>
      </c>
      <c r="C14" s="4" t="n">
        <f aca="false">INDEX(Inputs!$F$2:$F$42,MATCH($A14,Inputs!$B$2:$B$42,0))</f>
        <v>2</v>
      </c>
      <c r="D14" s="8" t="n">
        <f aca="false">IF($A14=D$6,"-",MAX($B14*D$5,D$4*$C14))</f>
        <v>3</v>
      </c>
      <c r="E14" s="8" t="n">
        <f aca="false">IF($A14=E$6,"-",MAX($B14*E$5,E$4*$C14))</f>
        <v>3</v>
      </c>
      <c r="F14" s="8" t="n">
        <f aca="false">IF($A14=F$6,"-",MAX($B14*F$5,F$4*$C14))</f>
        <v>3</v>
      </c>
      <c r="G14" s="8" t="n">
        <f aca="false">IF($A14=G$6,"-",MAX($B14*G$5,G$4*$C14))</f>
        <v>2</v>
      </c>
      <c r="H14" s="8" t="n">
        <f aca="false">IF($A14=H$6,"-",MAX($B14*H$5,H$4*$C14))</f>
        <v>3</v>
      </c>
      <c r="I14" s="8" t="n">
        <f aca="false">IF($A14=I$6,"-",MAX($B14*I$5,I$4*$C14))</f>
        <v>3</v>
      </c>
      <c r="J14" s="8" t="n">
        <f aca="false">IF($A14=J$6,"-",MAX($B14*J$5,J$4*$C14))</f>
        <v>2</v>
      </c>
      <c r="K14" s="8" t="str">
        <f aca="false">IF($A14=K$6,"-",MAX($B14*K$5,K$4*$C14))</f>
        <v>-</v>
      </c>
      <c r="L14" s="8" t="n">
        <f aca="false">IF($A14=L$6,"-",MAX($B14*L$5,L$4*$C14))</f>
        <v>3</v>
      </c>
      <c r="M14" s="8" t="n">
        <f aca="false">IF($A14=M$6,"-",MAX($B14*M$5,M$4*$C14))</f>
        <v>3</v>
      </c>
      <c r="N14" s="8" t="n">
        <f aca="false">IF($A14=N$6,"-",MAX($B14*N$5,N$4*$C14))</f>
        <v>2</v>
      </c>
      <c r="O14" s="8" t="n">
        <f aca="false">IF($A14=O$6,"-",MAX($B14*O$5,O$4*$C14))</f>
        <v>2</v>
      </c>
      <c r="P14" s="8" t="n">
        <f aca="false">IF($A14=P$6,"-",MAX($B14*P$5,P$4*$C14))</f>
        <v>2</v>
      </c>
      <c r="Q14" s="8" t="n">
        <f aca="false">IF($A14=Q$6,"-",MAX($B14*Q$5,Q$4*$C14))</f>
        <v>2</v>
      </c>
      <c r="R14" s="8" t="n">
        <f aca="false">IF($A14=R$6,"-",MAX($B14*R$5,R$4*$C14))</f>
        <v>2</v>
      </c>
      <c r="S14" s="8" t="n">
        <f aca="false">IF($A14=S$6,"-",MAX($B14*S$5,S$4*$C14))</f>
        <v>4</v>
      </c>
      <c r="T14" s="8" t="n">
        <f aca="false">IF($A14=T$6,"-",MAX($B14*T$5,T$4*$C14))</f>
        <v>2</v>
      </c>
    </row>
    <row r="15" customFormat="false" ht="15" hidden="false" customHeight="false" outlineLevel="0" collapsed="false">
      <c r="A15" s="7" t="s">
        <v>48</v>
      </c>
      <c r="B15" s="4" t="n">
        <f aca="false">INDEX(Inputs!$E$2:$E$42,MATCH($A15,Inputs!$B$2:$B$42,0))</f>
        <v>1</v>
      </c>
      <c r="C15" s="4" t="n">
        <f aca="false">INDEX(Inputs!$F$2:$F$42,MATCH($A15,Inputs!$B$2:$B$42,0))</f>
        <v>3</v>
      </c>
      <c r="D15" s="8" t="n">
        <f aca="false">IF($A15=D$6,"-",MAX($B15*D$5,D$4*$C15))</f>
        <v>3</v>
      </c>
      <c r="E15" s="8" t="n">
        <f aca="false">IF($A15=E$6,"-",MAX($B15*E$5,E$4*$C15))</f>
        <v>3</v>
      </c>
      <c r="F15" s="8" t="n">
        <f aca="false">IF($A15=F$6,"-",MAX($B15*F$5,F$4*$C15))</f>
        <v>3</v>
      </c>
      <c r="G15" s="8" t="n">
        <f aca="false">IF($A15=G$6,"-",MAX($B15*G$5,G$4*$C15))</f>
        <v>3</v>
      </c>
      <c r="H15" s="8" t="n">
        <f aca="false">IF($A15=H$6,"-",MAX($B15*H$5,H$4*$C15))</f>
        <v>3</v>
      </c>
      <c r="I15" s="8" t="n">
        <f aca="false">IF($A15=I$6,"-",MAX($B15*I$5,I$4*$C15))</f>
        <v>3</v>
      </c>
      <c r="J15" s="8" t="n">
        <f aca="false">IF($A15=J$6,"-",MAX($B15*J$5,J$4*$C15))</f>
        <v>3</v>
      </c>
      <c r="K15" s="8" t="n">
        <f aca="false">IF($A15=K$6,"-",MAX($B15*K$5,K$4*$C15))</f>
        <v>3</v>
      </c>
      <c r="L15" s="8" t="str">
        <f aca="false">IF($A15=L$6,"-",MAX($B15*L$5,L$4*$C15))</f>
        <v>-</v>
      </c>
      <c r="M15" s="8" t="n">
        <f aca="false">IF($A15=M$6,"-",MAX($B15*M$5,M$4*$C15))</f>
        <v>3</v>
      </c>
      <c r="N15" s="8" t="n">
        <f aca="false">IF($A15=N$6,"-",MAX($B15*N$5,N$4*$C15))</f>
        <v>3</v>
      </c>
      <c r="O15" s="8" t="n">
        <f aca="false">IF($A15=O$6,"-",MAX($B15*O$5,O$4*$C15))</f>
        <v>3</v>
      </c>
      <c r="P15" s="8" t="n">
        <f aca="false">IF($A15=P$6,"-",MAX($B15*P$5,P$4*$C15))</f>
        <v>3</v>
      </c>
      <c r="Q15" s="8" t="n">
        <f aca="false">IF($A15=Q$6,"-",MAX($B15*Q$5,Q$4*$C15))</f>
        <v>3</v>
      </c>
      <c r="R15" s="8" t="n">
        <f aca="false">IF($A15=R$6,"-",MAX($B15*R$5,R$4*$C15))</f>
        <v>3</v>
      </c>
      <c r="S15" s="8" t="n">
        <f aca="false">IF($A15=S$6,"-",MAX($B15*S$5,S$4*$C15))</f>
        <v>6</v>
      </c>
      <c r="T15" s="8" t="n">
        <f aca="false">IF($A15=T$6,"-",MAX($B15*T$5,T$4*$C15))</f>
        <v>3</v>
      </c>
    </row>
    <row r="16" customFormat="false" ht="15" hidden="false" customHeight="false" outlineLevel="0" collapsed="false">
      <c r="A16" s="7" t="s">
        <v>49</v>
      </c>
      <c r="B16" s="4" t="n">
        <f aca="false">INDEX(Inputs!$E$2:$E$42,MATCH($A16,Inputs!$B$2:$B$42,0))</f>
        <v>1</v>
      </c>
      <c r="C16" s="4" t="n">
        <f aca="false">INDEX(Inputs!$F$2:$F$42,MATCH($A16,Inputs!$B$2:$B$42,0))</f>
        <v>3</v>
      </c>
      <c r="D16" s="8" t="n">
        <f aca="false">IF($A16=D$6,"-",MAX($B16*D$5,D$4*$C16))</f>
        <v>3</v>
      </c>
      <c r="E16" s="8" t="n">
        <f aca="false">IF($A16=E$6,"-",MAX($B16*E$5,E$4*$C16))</f>
        <v>3</v>
      </c>
      <c r="F16" s="8" t="n">
        <f aca="false">IF($A16=F$6,"-",MAX($B16*F$5,F$4*$C16))</f>
        <v>3</v>
      </c>
      <c r="G16" s="8" t="n">
        <f aca="false">IF($A16=G$6,"-",MAX($B16*G$5,G$4*$C16))</f>
        <v>3</v>
      </c>
      <c r="H16" s="8" t="n">
        <f aca="false">IF($A16=H$6,"-",MAX($B16*H$5,H$4*$C16))</f>
        <v>3</v>
      </c>
      <c r="I16" s="8" t="n">
        <f aca="false">IF($A16=I$6,"-",MAX($B16*I$5,I$4*$C16))</f>
        <v>3</v>
      </c>
      <c r="J16" s="8" t="n">
        <f aca="false">IF($A16=J$6,"-",MAX($B16*J$5,J$4*$C16))</f>
        <v>3</v>
      </c>
      <c r="K16" s="8" t="n">
        <f aca="false">IF($A16=K$6,"-",MAX($B16*K$5,K$4*$C16))</f>
        <v>3</v>
      </c>
      <c r="L16" s="8" t="n">
        <f aca="false">IF($A16=L$6,"-",MAX($B16*L$5,L$4*$C16))</f>
        <v>3</v>
      </c>
      <c r="M16" s="8" t="str">
        <f aca="false">IF($A16=M$6,"-",MAX($B16*M$5,M$4*$C16))</f>
        <v>-</v>
      </c>
      <c r="N16" s="8" t="n">
        <f aca="false">IF($A16=N$6,"-",MAX($B16*N$5,N$4*$C16))</f>
        <v>3</v>
      </c>
      <c r="O16" s="8" t="n">
        <f aca="false">IF($A16=O$6,"-",MAX($B16*O$5,O$4*$C16))</f>
        <v>3</v>
      </c>
      <c r="P16" s="8" t="n">
        <f aca="false">IF($A16=P$6,"-",MAX($B16*P$5,P$4*$C16))</f>
        <v>3</v>
      </c>
      <c r="Q16" s="8" t="n">
        <f aca="false">IF($A16=Q$6,"-",MAX($B16*Q$5,Q$4*$C16))</f>
        <v>3</v>
      </c>
      <c r="R16" s="8" t="n">
        <f aca="false">IF($A16=R$6,"-",MAX($B16*R$5,R$4*$C16))</f>
        <v>3</v>
      </c>
      <c r="S16" s="8" t="n">
        <f aca="false">IF($A16=S$6,"-",MAX($B16*S$5,S$4*$C16))</f>
        <v>6</v>
      </c>
      <c r="T16" s="8" t="n">
        <f aca="false">IF($A16=T$6,"-",MAX($B16*T$5,T$4*$C16))</f>
        <v>3</v>
      </c>
    </row>
    <row r="17" customFormat="false" ht="15" hidden="false" customHeight="false" outlineLevel="0" collapsed="false">
      <c r="A17" s="7" t="s">
        <v>50</v>
      </c>
      <c r="B17" s="4" t="n">
        <f aca="false">INDEX(Inputs!$E$2:$E$42,MATCH($A17,Inputs!$B$2:$B$42,0))</f>
        <v>1</v>
      </c>
      <c r="C17" s="4" t="n">
        <f aca="false">INDEX(Inputs!$F$2:$F$42,MATCH($A17,Inputs!$B$2:$B$42,0))</f>
        <v>1</v>
      </c>
      <c r="D17" s="8" t="n">
        <f aca="false">IF($A17=D$6,"-",MAX($B17*D$5,D$4*$C17))</f>
        <v>3</v>
      </c>
      <c r="E17" s="8" t="n">
        <f aca="false">IF($A17=E$6,"-",MAX($B17*E$5,E$4*$C17))</f>
        <v>3</v>
      </c>
      <c r="F17" s="8" t="n">
        <f aca="false">IF($A17=F$6,"-",MAX($B17*F$5,F$4*$C17))</f>
        <v>3</v>
      </c>
      <c r="G17" s="8" t="n">
        <f aca="false">IF($A17=G$6,"-",MAX($B17*G$5,G$4*$C17))</f>
        <v>2</v>
      </c>
      <c r="H17" s="8" t="n">
        <f aca="false">IF($A17=H$6,"-",MAX($B17*H$5,H$4*$C17))</f>
        <v>3</v>
      </c>
      <c r="I17" s="8" t="n">
        <f aca="false">IF($A17=I$6,"-",MAX($B17*I$5,I$4*$C17))</f>
        <v>3</v>
      </c>
      <c r="J17" s="8" t="n">
        <f aca="false">IF($A17=J$6,"-",MAX($B17*J$5,J$4*$C17))</f>
        <v>1</v>
      </c>
      <c r="K17" s="8" t="n">
        <f aca="false">IF($A17=K$6,"-",MAX($B17*K$5,K$4*$C17))</f>
        <v>2</v>
      </c>
      <c r="L17" s="8" t="n">
        <f aca="false">IF($A17=L$6,"-",MAX($B17*L$5,L$4*$C17))</f>
        <v>3</v>
      </c>
      <c r="M17" s="8" t="n">
        <f aca="false">IF($A17=M$6,"-",MAX($B17*M$5,M$4*$C17))</f>
        <v>3</v>
      </c>
      <c r="N17" s="8" t="str">
        <f aca="false">IF($A17=N$6,"-",MAX($B17*N$5,N$4*$C17))</f>
        <v>-</v>
      </c>
      <c r="O17" s="8" t="n">
        <f aca="false">IF($A17=O$6,"-",MAX($B17*O$5,O$4*$C17))</f>
        <v>2</v>
      </c>
      <c r="P17" s="8" t="n">
        <f aca="false">IF($A17=P$6,"-",MAX($B17*P$5,P$4*$C17))</f>
        <v>1</v>
      </c>
      <c r="Q17" s="8" t="n">
        <f aca="false">IF($A17=Q$6,"-",MAX($B17*Q$5,Q$4*$C17))</f>
        <v>2</v>
      </c>
      <c r="R17" s="8" t="n">
        <f aca="false">IF($A17=R$6,"-",MAX($B17*R$5,R$4*$C17))</f>
        <v>1</v>
      </c>
      <c r="S17" s="8" t="n">
        <f aca="false">IF($A17=S$6,"-",MAX($B17*S$5,S$4*$C17))</f>
        <v>3</v>
      </c>
      <c r="T17" s="8" t="n">
        <f aca="false">IF($A17=T$6,"-",MAX($B17*T$5,T$4*$C17))</f>
        <v>2</v>
      </c>
    </row>
    <row r="18" customFormat="false" ht="15" hidden="false" customHeight="false" outlineLevel="0" collapsed="false">
      <c r="A18" s="7" t="s">
        <v>51</v>
      </c>
      <c r="B18" s="4" t="n">
        <f aca="false">INDEX(Inputs!$E$2:$E$42,MATCH($A18,Inputs!$B$2:$B$42,0))</f>
        <v>1</v>
      </c>
      <c r="C18" s="4" t="n">
        <f aca="false">INDEX(Inputs!$F$2:$F$42,MATCH($A18,Inputs!$B$2:$B$42,0))</f>
        <v>2</v>
      </c>
      <c r="D18" s="8" t="n">
        <f aca="false">IF($A18=D$6,"-",MAX($B18*D$5,D$4*$C18))</f>
        <v>3</v>
      </c>
      <c r="E18" s="8" t="n">
        <f aca="false">IF($A18=E$6,"-",MAX($B18*E$5,E$4*$C18))</f>
        <v>3</v>
      </c>
      <c r="F18" s="8" t="n">
        <f aca="false">IF($A18=F$6,"-",MAX($B18*F$5,F$4*$C18))</f>
        <v>3</v>
      </c>
      <c r="G18" s="8" t="n">
        <f aca="false">IF($A18=G$6,"-",MAX($B18*G$5,G$4*$C18))</f>
        <v>2</v>
      </c>
      <c r="H18" s="8" t="n">
        <f aca="false">IF($A18=H$6,"-",MAX($B18*H$5,H$4*$C18))</f>
        <v>3</v>
      </c>
      <c r="I18" s="8" t="n">
        <f aca="false">IF($A18=I$6,"-",MAX($B18*I$5,I$4*$C18))</f>
        <v>3</v>
      </c>
      <c r="J18" s="8" t="n">
        <f aca="false">IF($A18=J$6,"-",MAX($B18*J$5,J$4*$C18))</f>
        <v>2</v>
      </c>
      <c r="K18" s="8" t="n">
        <f aca="false">IF($A18=K$6,"-",MAX($B18*K$5,K$4*$C18))</f>
        <v>2</v>
      </c>
      <c r="L18" s="8" t="n">
        <f aca="false">IF($A18=L$6,"-",MAX($B18*L$5,L$4*$C18))</f>
        <v>3</v>
      </c>
      <c r="M18" s="8" t="n">
        <f aca="false">IF($A18=M$6,"-",MAX($B18*M$5,M$4*$C18))</f>
        <v>3</v>
      </c>
      <c r="N18" s="8" t="n">
        <f aca="false">IF($A18=N$6,"-",MAX($B18*N$5,N$4*$C18))</f>
        <v>2</v>
      </c>
      <c r="O18" s="8" t="str">
        <f aca="false">IF($A18=O$6,"-",MAX($B18*O$5,O$4*$C18))</f>
        <v>-</v>
      </c>
      <c r="P18" s="8" t="n">
        <f aca="false">IF($A18=P$6,"-",MAX($B18*P$5,P$4*$C18))</f>
        <v>2</v>
      </c>
      <c r="Q18" s="8" t="n">
        <f aca="false">IF($A18=Q$6,"-",MAX($B18*Q$5,Q$4*$C18))</f>
        <v>2</v>
      </c>
      <c r="R18" s="8" t="n">
        <f aca="false">IF($A18=R$6,"-",MAX($B18*R$5,R$4*$C18))</f>
        <v>2</v>
      </c>
      <c r="S18" s="8" t="n">
        <f aca="false">IF($A18=S$6,"-",MAX($B18*S$5,S$4*$C18))</f>
        <v>4</v>
      </c>
      <c r="T18" s="8" t="n">
        <f aca="false">IF($A18=T$6,"-",MAX($B18*T$5,T$4*$C18))</f>
        <v>2</v>
      </c>
    </row>
    <row r="19" customFormat="false" ht="15" hidden="false" customHeight="false" outlineLevel="0" collapsed="false">
      <c r="A19" s="7" t="s">
        <v>52</v>
      </c>
      <c r="B19" s="4" t="n">
        <f aca="false">INDEX(Inputs!$E$2:$E$42,MATCH($A19,Inputs!$B$2:$B$42,0))</f>
        <v>1</v>
      </c>
      <c r="C19" s="4" t="n">
        <f aca="false">INDEX(Inputs!$F$2:$F$42,MATCH($A19,Inputs!$B$2:$B$42,0))</f>
        <v>1</v>
      </c>
      <c r="D19" s="8" t="n">
        <f aca="false">IF($A19=D$6,"-",MAX($B19*D$5,D$4*$C19))</f>
        <v>3</v>
      </c>
      <c r="E19" s="8" t="n">
        <f aca="false">IF($A19=E$6,"-",MAX($B19*E$5,E$4*$C19))</f>
        <v>3</v>
      </c>
      <c r="F19" s="8" t="n">
        <f aca="false">IF($A19=F$6,"-",MAX($B19*F$5,F$4*$C19))</f>
        <v>3</v>
      </c>
      <c r="G19" s="8" t="n">
        <f aca="false">IF($A19=G$6,"-",MAX($B19*G$5,G$4*$C19))</f>
        <v>2</v>
      </c>
      <c r="H19" s="8" t="n">
        <f aca="false">IF($A19=H$6,"-",MAX($B19*H$5,H$4*$C19))</f>
        <v>3</v>
      </c>
      <c r="I19" s="8" t="n">
        <f aca="false">IF($A19=I$6,"-",MAX($B19*I$5,I$4*$C19))</f>
        <v>3</v>
      </c>
      <c r="J19" s="8" t="n">
        <f aca="false">IF($A19=J$6,"-",MAX($B19*J$5,J$4*$C19))</f>
        <v>1</v>
      </c>
      <c r="K19" s="8" t="n">
        <f aca="false">IF($A19=K$6,"-",MAX($B19*K$5,K$4*$C19))</f>
        <v>2</v>
      </c>
      <c r="L19" s="8" t="n">
        <f aca="false">IF($A19=L$6,"-",MAX($B19*L$5,L$4*$C19))</f>
        <v>3</v>
      </c>
      <c r="M19" s="8" t="n">
        <f aca="false">IF($A19=M$6,"-",MAX($B19*M$5,M$4*$C19))</f>
        <v>3</v>
      </c>
      <c r="N19" s="8" t="n">
        <f aca="false">IF($A19=N$6,"-",MAX($B19*N$5,N$4*$C19))</f>
        <v>1</v>
      </c>
      <c r="O19" s="8" t="n">
        <f aca="false">IF($A19=O$6,"-",MAX($B19*O$5,O$4*$C19))</f>
        <v>2</v>
      </c>
      <c r="P19" s="8" t="str">
        <f aca="false">IF($A19=P$6,"-",MAX($B19*P$5,P$4*$C19))</f>
        <v>-</v>
      </c>
      <c r="Q19" s="8" t="n">
        <f aca="false">IF($A19=Q$6,"-",MAX($B19*Q$5,Q$4*$C19))</f>
        <v>2</v>
      </c>
      <c r="R19" s="8" t="n">
        <f aca="false">IF($A19=R$6,"-",MAX($B19*R$5,R$4*$C19))</f>
        <v>1</v>
      </c>
      <c r="S19" s="8" t="n">
        <f aca="false">IF($A19=S$6,"-",MAX($B19*S$5,S$4*$C19))</f>
        <v>3</v>
      </c>
      <c r="T19" s="8" t="n">
        <f aca="false">IF($A19=T$6,"-",MAX($B19*T$5,T$4*$C19))</f>
        <v>2</v>
      </c>
    </row>
    <row r="20" customFormat="false" ht="15" hidden="false" customHeight="false" outlineLevel="0" collapsed="false">
      <c r="A20" s="7" t="s">
        <v>53</v>
      </c>
      <c r="B20" s="4" t="n">
        <f aca="false">INDEX(Inputs!$E$2:$E$42,MATCH($A20,Inputs!$B$2:$B$42,0))</f>
        <v>1</v>
      </c>
      <c r="C20" s="4" t="n">
        <f aca="false">INDEX(Inputs!$F$2:$F$42,MATCH($A20,Inputs!$B$2:$B$42,0))</f>
        <v>2</v>
      </c>
      <c r="D20" s="8" t="n">
        <f aca="false">IF($A20=D$6,"-",MAX($B20*D$5,D$4*$C20))</f>
        <v>3</v>
      </c>
      <c r="E20" s="8" t="n">
        <f aca="false">IF($A20=E$6,"-",MAX($B20*E$5,E$4*$C20))</f>
        <v>3</v>
      </c>
      <c r="F20" s="8" t="n">
        <f aca="false">IF($A20=F$6,"-",MAX($B20*F$5,F$4*$C20))</f>
        <v>3</v>
      </c>
      <c r="G20" s="8" t="n">
        <f aca="false">IF($A20=G$6,"-",MAX($B20*G$5,G$4*$C20))</f>
        <v>2</v>
      </c>
      <c r="H20" s="8" t="n">
        <f aca="false">IF($A20=H$6,"-",MAX($B20*H$5,H$4*$C20))</f>
        <v>3</v>
      </c>
      <c r="I20" s="8" t="n">
        <f aca="false">IF($A20=I$6,"-",MAX($B20*I$5,I$4*$C20))</f>
        <v>3</v>
      </c>
      <c r="J20" s="8" t="n">
        <f aca="false">IF($A20=J$6,"-",MAX($B20*J$5,J$4*$C20))</f>
        <v>2</v>
      </c>
      <c r="K20" s="8" t="n">
        <f aca="false">IF($A20=K$6,"-",MAX($B20*K$5,K$4*$C20))</f>
        <v>2</v>
      </c>
      <c r="L20" s="8" t="n">
        <f aca="false">IF($A20=L$6,"-",MAX($B20*L$5,L$4*$C20))</f>
        <v>3</v>
      </c>
      <c r="M20" s="8" t="n">
        <f aca="false">IF($A20=M$6,"-",MAX($B20*M$5,M$4*$C20))</f>
        <v>3</v>
      </c>
      <c r="N20" s="8" t="n">
        <f aca="false">IF($A20=N$6,"-",MAX($B20*N$5,N$4*$C20))</f>
        <v>2</v>
      </c>
      <c r="O20" s="8" t="n">
        <f aca="false">IF($A20=O$6,"-",MAX($B20*O$5,O$4*$C20))</f>
        <v>2</v>
      </c>
      <c r="P20" s="8" t="n">
        <f aca="false">IF($A20=P$6,"-",MAX($B20*P$5,P$4*$C20))</f>
        <v>2</v>
      </c>
      <c r="Q20" s="8" t="str">
        <f aca="false">IF($A20=Q$6,"-",MAX($B20*Q$5,Q$4*$C20))</f>
        <v>-</v>
      </c>
      <c r="R20" s="8" t="n">
        <f aca="false">IF($A20=R$6,"-",MAX($B20*R$5,R$4*$C20))</f>
        <v>2</v>
      </c>
      <c r="S20" s="8" t="n">
        <f aca="false">IF($A20=S$6,"-",MAX($B20*S$5,S$4*$C20))</f>
        <v>4</v>
      </c>
      <c r="T20" s="8" t="n">
        <f aca="false">IF($A20=T$6,"-",MAX($B20*T$5,T$4*$C20))</f>
        <v>2</v>
      </c>
    </row>
    <row r="21" customFormat="false" ht="15" hidden="false" customHeight="false" outlineLevel="0" collapsed="false">
      <c r="A21" s="7" t="s">
        <v>54</v>
      </c>
      <c r="B21" s="4" t="n">
        <f aca="false">INDEX(Inputs!$E$2:$E$42,MATCH($A21,Inputs!$B$2:$B$42,0))</f>
        <v>1</v>
      </c>
      <c r="C21" s="4" t="n">
        <f aca="false">INDEX(Inputs!$F$2:$F$42,MATCH($A21,Inputs!$B$2:$B$42,0))</f>
        <v>1</v>
      </c>
      <c r="D21" s="8" t="n">
        <f aca="false">IF($A21=D$6,"-",MAX($B21*D$5,D$4*$C21))</f>
        <v>3</v>
      </c>
      <c r="E21" s="8" t="n">
        <f aca="false">IF($A21=E$6,"-",MAX($B21*E$5,E$4*$C21))</f>
        <v>3</v>
      </c>
      <c r="F21" s="8" t="n">
        <f aca="false">IF($A21=F$6,"-",MAX($B21*F$5,F$4*$C21))</f>
        <v>3</v>
      </c>
      <c r="G21" s="8" t="n">
        <f aca="false">IF($A21=G$6,"-",MAX($B21*G$5,G$4*$C21))</f>
        <v>2</v>
      </c>
      <c r="H21" s="8" t="n">
        <f aca="false">IF($A21=H$6,"-",MAX($B21*H$5,H$4*$C21))</f>
        <v>3</v>
      </c>
      <c r="I21" s="8" t="n">
        <f aca="false">IF($A21=I$6,"-",MAX($B21*I$5,I$4*$C21))</f>
        <v>3</v>
      </c>
      <c r="J21" s="8" t="n">
        <f aca="false">IF($A21=J$6,"-",MAX($B21*J$5,J$4*$C21))</f>
        <v>1</v>
      </c>
      <c r="K21" s="8" t="n">
        <f aca="false">IF($A21=K$6,"-",MAX($B21*K$5,K$4*$C21))</f>
        <v>2</v>
      </c>
      <c r="L21" s="8" t="n">
        <f aca="false">IF($A21=L$6,"-",MAX($B21*L$5,L$4*$C21))</f>
        <v>3</v>
      </c>
      <c r="M21" s="8" t="n">
        <f aca="false">IF($A21=M$6,"-",MAX($B21*M$5,M$4*$C21))</f>
        <v>3</v>
      </c>
      <c r="N21" s="8" t="n">
        <f aca="false">IF($A21=N$6,"-",MAX($B21*N$5,N$4*$C21))</f>
        <v>1</v>
      </c>
      <c r="O21" s="8" t="n">
        <f aca="false">IF($A21=O$6,"-",MAX($B21*O$5,O$4*$C21))</f>
        <v>2</v>
      </c>
      <c r="P21" s="8" t="n">
        <f aca="false">IF($A21=P$6,"-",MAX($B21*P$5,P$4*$C21))</f>
        <v>1</v>
      </c>
      <c r="Q21" s="8" t="n">
        <f aca="false">IF($A21=Q$6,"-",MAX($B21*Q$5,Q$4*$C21))</f>
        <v>2</v>
      </c>
      <c r="R21" s="8" t="str">
        <f aca="false">IF($A21=R$6,"-",MAX($B21*R$5,R$4*$C21))</f>
        <v>-</v>
      </c>
      <c r="S21" s="8" t="n">
        <f aca="false">IF($A21=S$6,"-",MAX($B21*S$5,S$4*$C21))</f>
        <v>3</v>
      </c>
      <c r="T21" s="8" t="n">
        <f aca="false">IF($A21=T$6,"-",MAX($B21*T$5,T$4*$C21))</f>
        <v>2</v>
      </c>
    </row>
    <row r="22" customFormat="false" ht="15" hidden="false" customHeight="false" outlineLevel="0" collapsed="false">
      <c r="A22" s="7" t="s">
        <v>55</v>
      </c>
      <c r="B22" s="4" t="n">
        <f aca="false">INDEX(Inputs!$E$2:$E$42,MATCH($A22,Inputs!$B$2:$B$42,0))</f>
        <v>2</v>
      </c>
      <c r="C22" s="4" t="n">
        <f aca="false">INDEX(Inputs!$F$2:$F$42,MATCH($A22,Inputs!$B$2:$B$42,0))</f>
        <v>3</v>
      </c>
      <c r="D22" s="8" t="n">
        <f aca="false">IF($A22=D$6,"-",MAX($B22*D$5,D$4*$C22))</f>
        <v>6</v>
      </c>
      <c r="E22" s="8" t="n">
        <f aca="false">IF($A22=E$6,"-",MAX($B22*E$5,E$4*$C22))</f>
        <v>6</v>
      </c>
      <c r="F22" s="8" t="n">
        <f aca="false">IF($A22=F$6,"-",MAX($B22*F$5,F$4*$C22))</f>
        <v>6</v>
      </c>
      <c r="G22" s="8" t="n">
        <f aca="false">IF($A22=G$6,"-",MAX($B22*G$5,G$4*$C22))</f>
        <v>4</v>
      </c>
      <c r="H22" s="8" t="n">
        <f aca="false">IF($A22=H$6,"-",MAX($B22*H$5,H$4*$C22))</f>
        <v>6</v>
      </c>
      <c r="I22" s="8" t="n">
        <f aca="false">IF($A22=I$6,"-",MAX($B22*I$5,I$4*$C22))</f>
        <v>6</v>
      </c>
      <c r="J22" s="8" t="n">
        <f aca="false">IF($A22=J$6,"-",MAX($B22*J$5,J$4*$C22))</f>
        <v>3</v>
      </c>
      <c r="K22" s="8" t="n">
        <f aca="false">IF($A22=K$6,"-",MAX($B22*K$5,K$4*$C22))</f>
        <v>4</v>
      </c>
      <c r="L22" s="8" t="n">
        <f aca="false">IF($A22=L$6,"-",MAX($B22*L$5,L$4*$C22))</f>
        <v>6</v>
      </c>
      <c r="M22" s="8" t="n">
        <f aca="false">IF($A22=M$6,"-",MAX($B22*M$5,M$4*$C22))</f>
        <v>6</v>
      </c>
      <c r="N22" s="8" t="n">
        <f aca="false">IF($A22=N$6,"-",MAX($B22*N$5,N$4*$C22))</f>
        <v>3</v>
      </c>
      <c r="O22" s="8" t="n">
        <f aca="false">IF($A22=O$6,"-",MAX($B22*O$5,O$4*$C22))</f>
        <v>4</v>
      </c>
      <c r="P22" s="8" t="n">
        <f aca="false">IF($A22=P$6,"-",MAX($B22*P$5,P$4*$C22))</f>
        <v>3</v>
      </c>
      <c r="Q22" s="8" t="n">
        <f aca="false">IF($A22=Q$6,"-",MAX($B22*Q$5,Q$4*$C22))</f>
        <v>4</v>
      </c>
      <c r="R22" s="8" t="n">
        <f aca="false">IF($A22=R$6,"-",MAX($B22*R$5,R$4*$C22))</f>
        <v>3</v>
      </c>
      <c r="S22" s="8" t="str">
        <f aca="false">IF($A22=S$6,"-",MAX($B22*S$5,S$4*$C22))</f>
        <v>-</v>
      </c>
      <c r="T22" s="8" t="n">
        <f aca="false">IF($A22=T$6,"-",MAX($B22*T$5,T$4*$C22))</f>
        <v>4</v>
      </c>
    </row>
    <row r="23" customFormat="false" ht="15" hidden="false" customHeight="false" outlineLevel="0" collapsed="false">
      <c r="A23" s="7" t="s">
        <v>56</v>
      </c>
      <c r="B23" s="4" t="n">
        <f aca="false">INDEX(Inputs!$E$2:$E$42,MATCH($A23,Inputs!$B$2:$B$42,0))</f>
        <v>1</v>
      </c>
      <c r="C23" s="4" t="n">
        <f aca="false">INDEX(Inputs!$F$2:$F$42,MATCH($A23,Inputs!$B$2:$B$42,0))</f>
        <v>2</v>
      </c>
      <c r="D23" s="8" t="n">
        <f aca="false">IF($A23=D$6,"-",MAX($B23*D$5,D$4*$C23))</f>
        <v>3</v>
      </c>
      <c r="E23" s="8" t="n">
        <f aca="false">IF($A23=E$6,"-",MAX($B23*E$5,E$4*$C23))</f>
        <v>3</v>
      </c>
      <c r="F23" s="8" t="n">
        <f aca="false">IF($A23=F$6,"-",MAX($B23*F$5,F$4*$C23))</f>
        <v>3</v>
      </c>
      <c r="G23" s="8" t="n">
        <f aca="false">IF($A23=G$6,"-",MAX($B23*G$5,G$4*$C23))</f>
        <v>2</v>
      </c>
      <c r="H23" s="8" t="n">
        <f aca="false">IF($A23=H$6,"-",MAX($B23*H$5,H$4*$C23))</f>
        <v>3</v>
      </c>
      <c r="I23" s="8" t="n">
        <f aca="false">IF($A23=I$6,"-",MAX($B23*I$5,I$4*$C23))</f>
        <v>3</v>
      </c>
      <c r="J23" s="8" t="n">
        <f aca="false">IF($A23=J$6,"-",MAX($B23*J$5,J$4*$C23))</f>
        <v>2</v>
      </c>
      <c r="K23" s="8" t="n">
        <f aca="false">IF($A23=K$6,"-",MAX($B23*K$5,K$4*$C23))</f>
        <v>2</v>
      </c>
      <c r="L23" s="8" t="n">
        <f aca="false">IF($A23=L$6,"-",MAX($B23*L$5,L$4*$C23))</f>
        <v>3</v>
      </c>
      <c r="M23" s="8" t="n">
        <f aca="false">IF($A23=M$6,"-",MAX($B23*M$5,M$4*$C23))</f>
        <v>3</v>
      </c>
      <c r="N23" s="8" t="n">
        <f aca="false">IF($A23=N$6,"-",MAX($B23*N$5,N$4*$C23))</f>
        <v>2</v>
      </c>
      <c r="O23" s="8" t="n">
        <f aca="false">IF($A23=O$6,"-",MAX($B23*O$5,O$4*$C23))</f>
        <v>2</v>
      </c>
      <c r="P23" s="8" t="n">
        <f aca="false">IF($A23=P$6,"-",MAX($B23*P$5,P$4*$C23))</f>
        <v>2</v>
      </c>
      <c r="Q23" s="8" t="n">
        <f aca="false">IF($A23=Q$6,"-",MAX($B23*Q$5,Q$4*$C23))</f>
        <v>2</v>
      </c>
      <c r="R23" s="8" t="n">
        <f aca="false">IF($A23=R$6,"-",MAX($B23*R$5,R$4*$C23))</f>
        <v>2</v>
      </c>
      <c r="S23" s="8" t="n">
        <f aca="false">IF($A23=S$6,"-",MAX($B23*S$5,S$4*$C23))</f>
        <v>4</v>
      </c>
      <c r="T23" s="8" t="str">
        <f aca="false">IF($A23=T$6,"-",MAX($B23*T$5,T$4*$C23))</f>
        <v>-</v>
      </c>
    </row>
    <row r="25" customFormat="false" ht="15" hidden="false" customHeight="false" outlineLevel="0" collapsed="false">
      <c r="A25" s="9" t="s">
        <v>31</v>
      </c>
    </row>
    <row r="26" customFormat="false" ht="15" hidden="false" customHeight="false" outlineLevel="0" collapsed="false">
      <c r="A26" s="10" t="s">
        <v>32</v>
      </c>
      <c r="B26" s="10"/>
      <c r="C26" s="10"/>
      <c r="D26" s="10"/>
      <c r="E26" s="10"/>
      <c r="F26" s="10"/>
      <c r="G26" s="10"/>
      <c r="H26" s="10"/>
    </row>
    <row r="27" customFormat="false" ht="15" hidden="false" customHeight="false" outlineLevel="0" collapsed="false">
      <c r="A27" s="11" t="s">
        <v>33</v>
      </c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2" t="s">
        <v>34</v>
      </c>
      <c r="B28" s="12"/>
      <c r="C28" s="12"/>
      <c r="D28" s="12"/>
      <c r="E28" s="12"/>
      <c r="F28" s="12"/>
      <c r="G28" s="12"/>
      <c r="H28" s="12"/>
    </row>
    <row r="30" customFormat="false" ht="15" hidden="false" customHeight="false" outlineLevel="0" collapsed="false">
      <c r="A30" s="9" t="s">
        <v>35</v>
      </c>
    </row>
    <row r="31" customFormat="false" ht="15" hidden="false" customHeight="false" outlineLevel="0" collapsed="false">
      <c r="A31" s="13" t="s">
        <v>36</v>
      </c>
      <c r="B31" s="13"/>
      <c r="C31" s="13"/>
      <c r="D31" s="9" t="n">
        <f aca="false">(COUNTIFS(D7:T23,"&gt;=1",D7:T23,"&lt;=3"))/2</f>
        <v>124</v>
      </c>
    </row>
    <row r="32" customFormat="false" ht="15" hidden="false" customHeight="false" outlineLevel="0" collapsed="false">
      <c r="A32" s="13" t="s">
        <v>37</v>
      </c>
      <c r="B32" s="13"/>
      <c r="C32" s="13"/>
      <c r="D32" s="9" t="n">
        <f aca="false">(COUNTIFS(D7:T23,"&gt;=4",D7:T23,"&lt;=6"))/2</f>
        <v>12</v>
      </c>
    </row>
    <row r="33" customFormat="false" ht="15" hidden="false" customHeight="false" outlineLevel="0" collapsed="false">
      <c r="A33" s="13" t="s">
        <v>38</v>
      </c>
      <c r="B33" s="13"/>
      <c r="C33" s="13"/>
      <c r="D33" s="9" t="n">
        <f aca="false">(COUNTIFS(D7:T23,"&gt;=7",D7:T23,"&lt;=9"))/2</f>
        <v>0</v>
      </c>
    </row>
  </sheetData>
  <mergeCells count="6">
    <mergeCell ref="A26:H26"/>
    <mergeCell ref="A27:H27"/>
    <mergeCell ref="A28:H28"/>
    <mergeCell ref="A31:C31"/>
    <mergeCell ref="A32:C32"/>
    <mergeCell ref="A33:C33"/>
  </mergeCells>
  <conditionalFormatting sqref="D7:T23">
    <cfRule type="cellIs" priority="2" operator="between" aboveAverage="0" equalAverage="0" bottom="0" percent="0" rank="0" text="" dxfId="0">
      <formula>1</formula>
      <formula>3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greaterThanOrEqual" aboveAverage="0" equalAverage="0" bottom="0" percent="0" rank="0" text="" dxfId="2">
      <formula>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6" min="5" style="0" width="14"/>
  </cols>
  <sheetData>
    <row r="1" customFormat="false" ht="23.85" hidden="false" customHeight="false" outlineLevel="0" collapsed="false">
      <c r="A1" s="5" t="s">
        <v>57</v>
      </c>
      <c r="B1" s="5" t="s">
        <v>4</v>
      </c>
      <c r="C1" s="5" t="s">
        <v>58</v>
      </c>
      <c r="D1" s="5" t="s">
        <v>59</v>
      </c>
      <c r="E1" s="5" t="s">
        <v>2</v>
      </c>
      <c r="F1" s="5" t="s">
        <v>3</v>
      </c>
      <c r="H1" s="2" t="s">
        <v>60</v>
      </c>
    </row>
    <row r="2" customFormat="false" ht="15" hidden="false" customHeight="false" outlineLevel="0" collapsed="false">
      <c r="A2" s="14" t="s">
        <v>61</v>
      </c>
      <c r="B2" s="14" t="s">
        <v>7</v>
      </c>
      <c r="C2" s="15" t="s">
        <v>62</v>
      </c>
      <c r="D2" s="15" t="s">
        <v>63</v>
      </c>
      <c r="E2" s="15" t="n">
        <f aca="false">MATCH(C2,{"low","medium","high"},0)</f>
        <v>3</v>
      </c>
      <c r="F2" s="15" t="n">
        <f aca="false">MATCH(D2,{"low","medium","high"},0)</f>
        <v>2</v>
      </c>
    </row>
    <row r="3" customFormat="false" ht="15" hidden="false" customHeight="false" outlineLevel="0" collapsed="false">
      <c r="A3" s="14" t="s">
        <v>61</v>
      </c>
      <c r="B3" s="14" t="s">
        <v>8</v>
      </c>
      <c r="C3" s="15" t="s">
        <v>62</v>
      </c>
      <c r="D3" s="15" t="s">
        <v>63</v>
      </c>
      <c r="E3" s="15" t="n">
        <f aca="false">MATCH(C3,{"low","medium","high"},0)</f>
        <v>3</v>
      </c>
      <c r="F3" s="15" t="n">
        <f aca="false">MATCH(D3,{"low","medium","high"},0)</f>
        <v>2</v>
      </c>
    </row>
    <row r="4" customFormat="false" ht="15" hidden="false" customHeight="false" outlineLevel="0" collapsed="false">
      <c r="A4" s="14" t="s">
        <v>61</v>
      </c>
      <c r="B4" s="14" t="s">
        <v>9</v>
      </c>
      <c r="C4" s="15" t="s">
        <v>62</v>
      </c>
      <c r="D4" s="15" t="s">
        <v>62</v>
      </c>
      <c r="E4" s="15" t="n">
        <f aca="false">MATCH(C4,{"low","medium","high"},0)</f>
        <v>3</v>
      </c>
      <c r="F4" s="15" t="n">
        <f aca="false">MATCH(D4,{"low","medium","high"},0)</f>
        <v>3</v>
      </c>
    </row>
    <row r="5" customFormat="false" ht="15" hidden="false" customHeight="false" outlineLevel="0" collapsed="false">
      <c r="A5" s="14" t="s">
        <v>61</v>
      </c>
      <c r="B5" s="14" t="s">
        <v>10</v>
      </c>
      <c r="C5" s="15" t="s">
        <v>63</v>
      </c>
      <c r="D5" s="15" t="s">
        <v>62</v>
      </c>
      <c r="E5" s="15" t="n">
        <f aca="false">MATCH(C5,{"low","medium","high"},0)</f>
        <v>2</v>
      </c>
      <c r="F5" s="15" t="n">
        <f aca="false">MATCH(D5,{"low","medium","high"},0)</f>
        <v>3</v>
      </c>
    </row>
    <row r="6" customFormat="false" ht="15" hidden="false" customHeight="false" outlineLevel="0" collapsed="false">
      <c r="A6" s="14" t="s">
        <v>61</v>
      </c>
      <c r="B6" s="14" t="s">
        <v>11</v>
      </c>
      <c r="C6" s="15" t="s">
        <v>64</v>
      </c>
      <c r="D6" s="15" t="s">
        <v>63</v>
      </c>
      <c r="E6" s="15" t="n">
        <f aca="false">MATCH(C6,{"low","medium","high"},0)</f>
        <v>1</v>
      </c>
      <c r="F6" s="15" t="n">
        <f aca="false">MATCH(D6,{"low","medium","high"},0)</f>
        <v>2</v>
      </c>
    </row>
    <row r="7" customFormat="false" ht="15" hidden="false" customHeight="false" outlineLevel="0" collapsed="false">
      <c r="A7" s="14" t="s">
        <v>61</v>
      </c>
      <c r="B7" s="14" t="s">
        <v>12</v>
      </c>
      <c r="C7" s="15" t="s">
        <v>64</v>
      </c>
      <c r="D7" s="15" t="s">
        <v>63</v>
      </c>
      <c r="E7" s="15" t="n">
        <f aca="false">MATCH(C7,{"low","medium","high"},0)</f>
        <v>1</v>
      </c>
      <c r="F7" s="15" t="n">
        <f aca="false">MATCH(D7,{"low","medium","high"},0)</f>
        <v>2</v>
      </c>
    </row>
    <row r="8" customFormat="false" ht="15" hidden="false" customHeight="false" outlineLevel="0" collapsed="false">
      <c r="A8" s="14" t="s">
        <v>61</v>
      </c>
      <c r="B8" s="14" t="s">
        <v>13</v>
      </c>
      <c r="C8" s="15" t="s">
        <v>62</v>
      </c>
      <c r="D8" s="15" t="s">
        <v>63</v>
      </c>
      <c r="E8" s="15" t="n">
        <f aca="false">MATCH(C8,{"low","medium","high"},0)</f>
        <v>3</v>
      </c>
      <c r="F8" s="15" t="n">
        <f aca="false">MATCH(D8,{"low","medium","high"},0)</f>
        <v>2</v>
      </c>
    </row>
    <row r="9" customFormat="false" ht="15" hidden="false" customHeight="false" outlineLevel="0" collapsed="false">
      <c r="A9" s="14" t="s">
        <v>61</v>
      </c>
      <c r="B9" s="14" t="s">
        <v>14</v>
      </c>
      <c r="C9" s="15" t="s">
        <v>64</v>
      </c>
      <c r="D9" s="15" t="s">
        <v>64</v>
      </c>
      <c r="E9" s="15" t="n">
        <f aca="false">MATCH(C9,{"low","medium","high"},0)</f>
        <v>1</v>
      </c>
      <c r="F9" s="15" t="n">
        <f aca="false">MATCH(D9,{"low","medium","high"},0)</f>
        <v>1</v>
      </c>
    </row>
    <row r="10" customFormat="false" ht="15" hidden="false" customHeight="false" outlineLevel="0" collapsed="false">
      <c r="A10" s="14" t="s">
        <v>61</v>
      </c>
      <c r="B10" s="14" t="s">
        <v>15</v>
      </c>
      <c r="C10" s="15" t="s">
        <v>63</v>
      </c>
      <c r="D10" s="15" t="s">
        <v>63</v>
      </c>
      <c r="E10" s="15" t="n">
        <f aca="false">MATCH(C10,{"low","medium","high"},0)</f>
        <v>2</v>
      </c>
      <c r="F10" s="15" t="n">
        <f aca="false">MATCH(D10,{"low","medium","high"},0)</f>
        <v>2</v>
      </c>
    </row>
    <row r="11" customFormat="false" ht="15" hidden="false" customHeight="false" outlineLevel="0" collapsed="false">
      <c r="A11" s="14" t="s">
        <v>61</v>
      </c>
      <c r="B11" s="14" t="s">
        <v>16</v>
      </c>
      <c r="C11" s="15" t="s">
        <v>62</v>
      </c>
      <c r="D11" s="15" t="s">
        <v>62</v>
      </c>
      <c r="E11" s="15" t="n">
        <f aca="false">MATCH(C11,{"low","medium","high"},0)</f>
        <v>3</v>
      </c>
      <c r="F11" s="15" t="n">
        <f aca="false">MATCH(D11,{"low","medium","high"},0)</f>
        <v>3</v>
      </c>
    </row>
    <row r="12" customFormat="false" ht="15" hidden="false" customHeight="false" outlineLevel="0" collapsed="false">
      <c r="A12" s="14" t="s">
        <v>61</v>
      </c>
      <c r="B12" s="14" t="s">
        <v>17</v>
      </c>
      <c r="C12" s="15" t="s">
        <v>64</v>
      </c>
      <c r="D12" s="15" t="s">
        <v>63</v>
      </c>
      <c r="E12" s="15" t="n">
        <f aca="false">MATCH(C12,{"low","medium","high"},0)</f>
        <v>1</v>
      </c>
      <c r="F12" s="15" t="n">
        <f aca="false">MATCH(D12,{"low","medium","high"},0)</f>
        <v>2</v>
      </c>
    </row>
    <row r="13" customFormat="false" ht="15" hidden="false" customHeight="false" outlineLevel="0" collapsed="false">
      <c r="A13" s="14" t="s">
        <v>61</v>
      </c>
      <c r="B13" s="14" t="s">
        <v>18</v>
      </c>
      <c r="C13" s="15" t="s">
        <v>64</v>
      </c>
      <c r="D13" s="15" t="s">
        <v>63</v>
      </c>
      <c r="E13" s="15" t="n">
        <f aca="false">MATCH(C13,{"low","medium","high"},0)</f>
        <v>1</v>
      </c>
      <c r="F13" s="15" t="n">
        <f aca="false">MATCH(D13,{"low","medium","high"},0)</f>
        <v>2</v>
      </c>
    </row>
    <row r="14" customFormat="false" ht="15" hidden="false" customHeight="false" outlineLevel="0" collapsed="false">
      <c r="A14" s="14" t="s">
        <v>61</v>
      </c>
      <c r="B14" s="14" t="s">
        <v>19</v>
      </c>
      <c r="C14" s="15" t="s">
        <v>63</v>
      </c>
      <c r="D14" s="15" t="s">
        <v>63</v>
      </c>
      <c r="E14" s="15" t="n">
        <f aca="false">MATCH(C14,{"low","medium","high"},0)</f>
        <v>2</v>
      </c>
      <c r="F14" s="15" t="n">
        <f aca="false">MATCH(D14,{"low","medium","high"},0)</f>
        <v>2</v>
      </c>
    </row>
    <row r="15" customFormat="false" ht="15" hidden="false" customHeight="false" outlineLevel="0" collapsed="false">
      <c r="A15" s="14" t="s">
        <v>61</v>
      </c>
      <c r="B15" s="14" t="s">
        <v>20</v>
      </c>
      <c r="C15" s="15" t="s">
        <v>62</v>
      </c>
      <c r="D15" s="15" t="s">
        <v>63</v>
      </c>
      <c r="E15" s="15" t="n">
        <f aca="false">MATCH(C15,{"low","medium","high"},0)</f>
        <v>3</v>
      </c>
      <c r="F15" s="15" t="n">
        <f aca="false">MATCH(D15,{"low","medium","high"},0)</f>
        <v>2</v>
      </c>
    </row>
    <row r="16" customFormat="false" ht="15" hidden="false" customHeight="false" outlineLevel="0" collapsed="false">
      <c r="A16" s="14" t="s">
        <v>61</v>
      </c>
      <c r="B16" s="14" t="s">
        <v>21</v>
      </c>
      <c r="C16" s="15" t="s">
        <v>62</v>
      </c>
      <c r="D16" s="15" t="s">
        <v>63</v>
      </c>
      <c r="E16" s="15" t="n">
        <f aca="false">MATCH(C16,{"low","medium","high"},0)</f>
        <v>3</v>
      </c>
      <c r="F16" s="15" t="n">
        <f aca="false">MATCH(D16,{"low","medium","high"},0)</f>
        <v>2</v>
      </c>
    </row>
    <row r="17" customFormat="false" ht="15" hidden="false" customHeight="false" outlineLevel="0" collapsed="false">
      <c r="A17" s="14" t="s">
        <v>61</v>
      </c>
      <c r="B17" s="14" t="s">
        <v>22</v>
      </c>
      <c r="C17" s="15" t="s">
        <v>64</v>
      </c>
      <c r="D17" s="15" t="s">
        <v>63</v>
      </c>
      <c r="E17" s="15" t="n">
        <f aca="false">MATCH(C17,{"low","medium","high"},0)</f>
        <v>1</v>
      </c>
      <c r="F17" s="15" t="n">
        <f aca="false">MATCH(D17,{"low","medium","high"},0)</f>
        <v>2</v>
      </c>
    </row>
    <row r="18" customFormat="false" ht="15" hidden="false" customHeight="false" outlineLevel="0" collapsed="false">
      <c r="A18" s="14" t="s">
        <v>61</v>
      </c>
      <c r="B18" s="14" t="s">
        <v>23</v>
      </c>
      <c r="C18" s="15" t="s">
        <v>62</v>
      </c>
      <c r="D18" s="15" t="s">
        <v>63</v>
      </c>
      <c r="E18" s="15" t="n">
        <f aca="false">MATCH(C18,{"low","medium","high"},0)</f>
        <v>3</v>
      </c>
      <c r="F18" s="15" t="n">
        <f aca="false">MATCH(D18,{"low","medium","high"},0)</f>
        <v>2</v>
      </c>
    </row>
    <row r="19" customFormat="false" ht="15" hidden="false" customHeight="false" outlineLevel="0" collapsed="false">
      <c r="A19" s="14" t="s">
        <v>61</v>
      </c>
      <c r="B19" s="14" t="s">
        <v>24</v>
      </c>
      <c r="C19" s="15" t="s">
        <v>62</v>
      </c>
      <c r="D19" s="15" t="s">
        <v>63</v>
      </c>
      <c r="E19" s="15" t="n">
        <f aca="false">MATCH(C19,{"low","medium","high"},0)</f>
        <v>3</v>
      </c>
      <c r="F19" s="15" t="n">
        <f aca="false">MATCH(D19,{"low","medium","high"},0)</f>
        <v>2</v>
      </c>
    </row>
    <row r="20" customFormat="false" ht="15" hidden="false" customHeight="false" outlineLevel="0" collapsed="false">
      <c r="A20" s="14" t="s">
        <v>61</v>
      </c>
      <c r="B20" s="14" t="s">
        <v>25</v>
      </c>
      <c r="C20" s="15" t="s">
        <v>62</v>
      </c>
      <c r="D20" s="15" t="s">
        <v>63</v>
      </c>
      <c r="E20" s="15" t="n">
        <f aca="false">MATCH(C20,{"low","medium","high"},0)</f>
        <v>3</v>
      </c>
      <c r="F20" s="15" t="n">
        <f aca="false">MATCH(D20,{"low","medium","high"},0)</f>
        <v>2</v>
      </c>
    </row>
    <row r="21" customFormat="false" ht="15" hidden="false" customHeight="false" outlineLevel="0" collapsed="false">
      <c r="A21" s="14" t="s">
        <v>61</v>
      </c>
      <c r="B21" s="14" t="s">
        <v>26</v>
      </c>
      <c r="C21" s="15" t="s">
        <v>62</v>
      </c>
      <c r="D21" s="15" t="s">
        <v>63</v>
      </c>
      <c r="E21" s="15" t="n">
        <f aca="false">MATCH(C21,{"low","medium","high"},0)</f>
        <v>3</v>
      </c>
      <c r="F21" s="15" t="n">
        <f aca="false">MATCH(D21,{"low","medium","high"},0)</f>
        <v>2</v>
      </c>
    </row>
    <row r="22" customFormat="false" ht="15" hidden="false" customHeight="false" outlineLevel="0" collapsed="false">
      <c r="A22" s="14" t="s">
        <v>61</v>
      </c>
      <c r="B22" s="14" t="s">
        <v>27</v>
      </c>
      <c r="C22" s="15" t="s">
        <v>64</v>
      </c>
      <c r="D22" s="15" t="s">
        <v>63</v>
      </c>
      <c r="E22" s="15" t="n">
        <f aca="false">MATCH(C22,{"low","medium","high"},0)</f>
        <v>1</v>
      </c>
      <c r="F22" s="15" t="n">
        <f aca="false">MATCH(D22,{"low","medium","high"},0)</f>
        <v>2</v>
      </c>
    </row>
    <row r="23" customFormat="false" ht="15" hidden="false" customHeight="false" outlineLevel="0" collapsed="false">
      <c r="A23" s="14" t="s">
        <v>61</v>
      </c>
      <c r="B23" s="14" t="s">
        <v>28</v>
      </c>
      <c r="C23" s="15" t="s">
        <v>64</v>
      </c>
      <c r="D23" s="15" t="s">
        <v>64</v>
      </c>
      <c r="E23" s="15" t="n">
        <f aca="false">MATCH(C23,{"low","medium","high"},0)</f>
        <v>1</v>
      </c>
      <c r="F23" s="15" t="n">
        <f aca="false">MATCH(D23,{"low","medium","high"},0)</f>
        <v>1</v>
      </c>
    </row>
    <row r="24" customFormat="false" ht="15" hidden="false" customHeight="false" outlineLevel="0" collapsed="false">
      <c r="A24" s="14" t="s">
        <v>61</v>
      </c>
      <c r="B24" s="14" t="s">
        <v>29</v>
      </c>
      <c r="C24" s="15" t="s">
        <v>64</v>
      </c>
      <c r="D24" s="15" t="s">
        <v>64</v>
      </c>
      <c r="E24" s="15" t="n">
        <f aca="false">MATCH(C24,{"low","medium","high"},0)</f>
        <v>1</v>
      </c>
      <c r="F24" s="15" t="n">
        <f aca="false">MATCH(D24,{"low","medium","high"},0)</f>
        <v>1</v>
      </c>
    </row>
    <row r="25" customFormat="false" ht="15" hidden="false" customHeight="false" outlineLevel="0" collapsed="false">
      <c r="A25" s="14" t="s">
        <v>61</v>
      </c>
      <c r="B25" s="14" t="s">
        <v>30</v>
      </c>
      <c r="C25" s="15" t="s">
        <v>64</v>
      </c>
      <c r="D25" s="15" t="s">
        <v>62</v>
      </c>
      <c r="E25" s="15" t="n">
        <f aca="false">MATCH(C25,{"low","medium","high"},0)</f>
        <v>1</v>
      </c>
      <c r="F25" s="15" t="n">
        <f aca="false">MATCH(D25,{"low","medium","high"},0)</f>
        <v>3</v>
      </c>
    </row>
    <row r="26" customFormat="false" ht="15" hidden="false" customHeight="false" outlineLevel="0" collapsed="false">
      <c r="A26" s="14" t="s">
        <v>65</v>
      </c>
      <c r="B26" s="14" t="s">
        <v>40</v>
      </c>
      <c r="C26" s="15" t="s">
        <v>64</v>
      </c>
      <c r="D26" s="15" t="s">
        <v>62</v>
      </c>
      <c r="E26" s="15" t="n">
        <f aca="false">MATCH(C26,{"low","medium","high"},0)</f>
        <v>1</v>
      </c>
      <c r="F26" s="15" t="n">
        <f aca="false">MATCH(D26,{"low","medium","high"},0)</f>
        <v>3</v>
      </c>
    </row>
    <row r="27" customFormat="false" ht="15" hidden="false" customHeight="false" outlineLevel="0" collapsed="false">
      <c r="A27" s="14" t="s">
        <v>65</v>
      </c>
      <c r="B27" s="14" t="s">
        <v>41</v>
      </c>
      <c r="C27" s="15" t="s">
        <v>64</v>
      </c>
      <c r="D27" s="15" t="s">
        <v>62</v>
      </c>
      <c r="E27" s="15" t="n">
        <f aca="false">MATCH(C27,{"low","medium","high"},0)</f>
        <v>1</v>
      </c>
      <c r="F27" s="15" t="n">
        <f aca="false">MATCH(D27,{"low","medium","high"},0)</f>
        <v>3</v>
      </c>
    </row>
    <row r="28" customFormat="false" ht="15" hidden="false" customHeight="false" outlineLevel="0" collapsed="false">
      <c r="A28" s="14" t="s">
        <v>65</v>
      </c>
      <c r="B28" s="14" t="s">
        <v>42</v>
      </c>
      <c r="C28" s="15" t="s">
        <v>64</v>
      </c>
      <c r="D28" s="15" t="s">
        <v>62</v>
      </c>
      <c r="E28" s="15" t="n">
        <f aca="false">MATCH(C28,{"low","medium","high"},0)</f>
        <v>1</v>
      </c>
      <c r="F28" s="15" t="n">
        <f aca="false">MATCH(D28,{"low","medium","high"},0)</f>
        <v>3</v>
      </c>
    </row>
    <row r="29" customFormat="false" ht="15" hidden="false" customHeight="false" outlineLevel="0" collapsed="false">
      <c r="A29" s="14" t="s">
        <v>65</v>
      </c>
      <c r="B29" s="14" t="s">
        <v>43</v>
      </c>
      <c r="C29" s="15" t="s">
        <v>64</v>
      </c>
      <c r="D29" s="15" t="s">
        <v>63</v>
      </c>
      <c r="E29" s="15" t="n">
        <f aca="false">MATCH(C29,{"low","medium","high"},0)</f>
        <v>1</v>
      </c>
      <c r="F29" s="15" t="n">
        <f aca="false">MATCH(D29,{"low","medium","high"},0)</f>
        <v>2</v>
      </c>
    </row>
    <row r="30" customFormat="false" ht="15" hidden="false" customHeight="false" outlineLevel="0" collapsed="false">
      <c r="A30" s="14" t="s">
        <v>65</v>
      </c>
      <c r="B30" s="14" t="s">
        <v>44</v>
      </c>
      <c r="C30" s="15" t="s">
        <v>64</v>
      </c>
      <c r="D30" s="15" t="s">
        <v>62</v>
      </c>
      <c r="E30" s="15" t="n">
        <f aca="false">MATCH(C30,{"low","medium","high"},0)</f>
        <v>1</v>
      </c>
      <c r="F30" s="15" t="n">
        <f aca="false">MATCH(D30,{"low","medium","high"},0)</f>
        <v>3</v>
      </c>
    </row>
    <row r="31" customFormat="false" ht="15" hidden="false" customHeight="false" outlineLevel="0" collapsed="false">
      <c r="A31" s="14" t="s">
        <v>65</v>
      </c>
      <c r="B31" s="14" t="s">
        <v>45</v>
      </c>
      <c r="C31" s="15" t="s">
        <v>64</v>
      </c>
      <c r="D31" s="15" t="s">
        <v>62</v>
      </c>
      <c r="E31" s="15" t="n">
        <f aca="false">MATCH(C31,{"low","medium","high"},0)</f>
        <v>1</v>
      </c>
      <c r="F31" s="15" t="n">
        <f aca="false">MATCH(D31,{"low","medium","high"},0)</f>
        <v>3</v>
      </c>
    </row>
    <row r="32" customFormat="false" ht="15" hidden="false" customHeight="false" outlineLevel="0" collapsed="false">
      <c r="A32" s="14" t="s">
        <v>65</v>
      </c>
      <c r="B32" s="14" t="s">
        <v>46</v>
      </c>
      <c r="C32" s="15" t="s">
        <v>64</v>
      </c>
      <c r="D32" s="15" t="s">
        <v>64</v>
      </c>
      <c r="E32" s="15" t="n">
        <f aca="false">MATCH(C32,{"low","medium","high"},0)</f>
        <v>1</v>
      </c>
      <c r="F32" s="15" t="n">
        <f aca="false">MATCH(D32,{"low","medium","high"},0)</f>
        <v>1</v>
      </c>
    </row>
    <row r="33" customFormat="false" ht="15" hidden="false" customHeight="false" outlineLevel="0" collapsed="false">
      <c r="A33" s="14" t="s">
        <v>65</v>
      </c>
      <c r="B33" s="14" t="s">
        <v>47</v>
      </c>
      <c r="C33" s="15" t="s">
        <v>64</v>
      </c>
      <c r="D33" s="15" t="s">
        <v>63</v>
      </c>
      <c r="E33" s="15" t="n">
        <f aca="false">MATCH(C33,{"low","medium","high"},0)</f>
        <v>1</v>
      </c>
      <c r="F33" s="15" t="n">
        <f aca="false">MATCH(D33,{"low","medium","high"},0)</f>
        <v>2</v>
      </c>
    </row>
    <row r="34" customFormat="false" ht="15" hidden="false" customHeight="false" outlineLevel="0" collapsed="false">
      <c r="A34" s="14" t="s">
        <v>65</v>
      </c>
      <c r="B34" s="14" t="s">
        <v>48</v>
      </c>
      <c r="C34" s="15" t="s">
        <v>64</v>
      </c>
      <c r="D34" s="15" t="s">
        <v>62</v>
      </c>
      <c r="E34" s="15" t="n">
        <f aca="false">MATCH(C34,{"low","medium","high"},0)</f>
        <v>1</v>
      </c>
      <c r="F34" s="15" t="n">
        <f aca="false">MATCH(D34,{"low","medium","high"},0)</f>
        <v>3</v>
      </c>
    </row>
    <row r="35" customFormat="false" ht="15" hidden="false" customHeight="false" outlineLevel="0" collapsed="false">
      <c r="A35" s="14" t="s">
        <v>65</v>
      </c>
      <c r="B35" s="14" t="s">
        <v>49</v>
      </c>
      <c r="C35" s="15" t="s">
        <v>64</v>
      </c>
      <c r="D35" s="15" t="s">
        <v>62</v>
      </c>
      <c r="E35" s="15" t="n">
        <f aca="false">MATCH(C35,{"low","medium","high"},0)</f>
        <v>1</v>
      </c>
      <c r="F35" s="15" t="n">
        <f aca="false">MATCH(D35,{"low","medium","high"},0)</f>
        <v>3</v>
      </c>
    </row>
    <row r="36" customFormat="false" ht="15" hidden="false" customHeight="false" outlineLevel="0" collapsed="false">
      <c r="A36" s="14" t="s">
        <v>65</v>
      </c>
      <c r="B36" s="14" t="s">
        <v>50</v>
      </c>
      <c r="C36" s="15" t="s">
        <v>64</v>
      </c>
      <c r="D36" s="15" t="s">
        <v>64</v>
      </c>
      <c r="E36" s="15" t="n">
        <f aca="false">MATCH(C36,{"low","medium","high"},0)</f>
        <v>1</v>
      </c>
      <c r="F36" s="15" t="n">
        <f aca="false">MATCH(D36,{"low","medium","high"},0)</f>
        <v>1</v>
      </c>
    </row>
    <row r="37" customFormat="false" ht="15" hidden="false" customHeight="false" outlineLevel="0" collapsed="false">
      <c r="A37" s="14" t="s">
        <v>65</v>
      </c>
      <c r="B37" s="14" t="s">
        <v>51</v>
      </c>
      <c r="C37" s="15" t="s">
        <v>64</v>
      </c>
      <c r="D37" s="15" t="s">
        <v>63</v>
      </c>
      <c r="E37" s="15" t="n">
        <f aca="false">MATCH(C37,{"low","medium","high"},0)</f>
        <v>1</v>
      </c>
      <c r="F37" s="15" t="n">
        <f aca="false">MATCH(D37,{"low","medium","high"},0)</f>
        <v>2</v>
      </c>
    </row>
    <row r="38" customFormat="false" ht="15" hidden="false" customHeight="false" outlineLevel="0" collapsed="false">
      <c r="A38" s="14" t="s">
        <v>65</v>
      </c>
      <c r="B38" s="14" t="s">
        <v>52</v>
      </c>
      <c r="C38" s="15" t="s">
        <v>64</v>
      </c>
      <c r="D38" s="15" t="s">
        <v>64</v>
      </c>
      <c r="E38" s="15" t="n">
        <f aca="false">MATCH(C38,{"low","medium","high"},0)</f>
        <v>1</v>
      </c>
      <c r="F38" s="15" t="n">
        <f aca="false">MATCH(D38,{"low","medium","high"},0)</f>
        <v>1</v>
      </c>
    </row>
    <row r="39" customFormat="false" ht="15" hidden="false" customHeight="false" outlineLevel="0" collapsed="false">
      <c r="A39" s="14" t="s">
        <v>65</v>
      </c>
      <c r="B39" s="14" t="s">
        <v>53</v>
      </c>
      <c r="C39" s="15" t="s">
        <v>64</v>
      </c>
      <c r="D39" s="15" t="s">
        <v>63</v>
      </c>
      <c r="E39" s="15" t="n">
        <f aca="false">MATCH(C39,{"low","medium","high"},0)</f>
        <v>1</v>
      </c>
      <c r="F39" s="15" t="n">
        <f aca="false">MATCH(D39,{"low","medium","high"},0)</f>
        <v>2</v>
      </c>
    </row>
    <row r="40" customFormat="false" ht="15" hidden="false" customHeight="false" outlineLevel="0" collapsed="false">
      <c r="A40" s="14" t="s">
        <v>65</v>
      </c>
      <c r="B40" s="14" t="s">
        <v>54</v>
      </c>
      <c r="C40" s="15" t="s">
        <v>64</v>
      </c>
      <c r="D40" s="15" t="s">
        <v>64</v>
      </c>
      <c r="E40" s="15" t="n">
        <f aca="false">MATCH(C40,{"low","medium","high"},0)</f>
        <v>1</v>
      </c>
      <c r="F40" s="15" t="n">
        <f aca="false">MATCH(D40,{"low","medium","high"},0)</f>
        <v>1</v>
      </c>
    </row>
    <row r="41" customFormat="false" ht="15" hidden="false" customHeight="false" outlineLevel="0" collapsed="false">
      <c r="A41" s="14" t="s">
        <v>65</v>
      </c>
      <c r="B41" s="14" t="s">
        <v>55</v>
      </c>
      <c r="C41" s="15" t="s">
        <v>63</v>
      </c>
      <c r="D41" s="15" t="s">
        <v>62</v>
      </c>
      <c r="E41" s="15" t="n">
        <f aca="false">MATCH(C41,{"low","medium","high"},0)</f>
        <v>2</v>
      </c>
      <c r="F41" s="15" t="n">
        <f aca="false">MATCH(D41,{"low","medium","high"},0)</f>
        <v>3</v>
      </c>
    </row>
    <row r="42" customFormat="false" ht="15" hidden="false" customHeight="false" outlineLevel="0" collapsed="false">
      <c r="A42" s="14" t="s">
        <v>65</v>
      </c>
      <c r="B42" s="14" t="s">
        <v>56</v>
      </c>
      <c r="C42" s="15" t="s">
        <v>64</v>
      </c>
      <c r="D42" s="15" t="s">
        <v>63</v>
      </c>
      <c r="E42" s="15" t="n">
        <f aca="false">MATCH(C42,{"low","medium","high"},0)</f>
        <v>1</v>
      </c>
      <c r="F42" s="15" t="n">
        <f aca="false">MATCH(D42,{"low","medium","high"},0)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3.85" hidden="false" customHeight="false" outlineLevel="0" collapsed="false">
      <c r="A1" s="16" t="s">
        <v>66</v>
      </c>
    </row>
    <row r="2" customFormat="false" ht="15" hidden="false" customHeight="false" outlineLevel="0" collapsed="false">
      <c r="A2" s="16" t="s">
        <v>67</v>
      </c>
    </row>
    <row r="3" customFormat="false" ht="15" hidden="false" customHeight="false" outlineLevel="0" collapsed="false">
      <c r="A3" s="16" t="s">
        <v>68</v>
      </c>
    </row>
    <row r="4" customFormat="false" ht="23.85" hidden="false" customHeight="false" outlineLevel="0" collapsed="false">
      <c r="A4" s="16" t="s">
        <v>69</v>
      </c>
    </row>
    <row r="5" customFormat="false" ht="15" hidden="false" customHeight="false" outlineLevel="0" collapsed="false">
      <c r="A5" s="1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2026-10-11T08:52:23Z</dcterms:created>
  <dc:creator>openpyxl</dc:creator>
  <dc:description/>
  <dc:language>en-US</dc:language>
  <cp:lastModifiedBy/>
  <dcterms:modified xsi:type="dcterms:W3CDTF">2026-10-11T08:52:23Z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