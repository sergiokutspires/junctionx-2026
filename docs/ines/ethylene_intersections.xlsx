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es" sheetId="1" state="visible" r:id="rId3"/>
    <sheet name="Matrix" sheetId="2" state="visible" r:id="rId4"/>
    <sheet name="Notes" sheetId="3" state="visible" r:id="rId5"/>
  </sheets>
  <definedNames>
    <definedName function="false" hidden="true" localSheetId="0" name="_xlnm._FilterDatabase" vbProcedure="false">Profiles!$A$1:$H$85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<sst xmlns="http://schemas.openxmlformats.org/spreadsheetml/2006/main" count="622" uniqueCount="153">
  <si>
    <t xml:space="preserve">Category</t>
  </si>
  <si>
    <t xml:space="preserve">Type</t>
  </si>
  <si>
    <t xml:space="preserve">Product</t>
  </si>
  <si>
    <t xml:space="preserve">Ethylene producer</t>
  </si>
  <si>
    <t xml:space="preserve">Ethylene sensitive</t>
  </si>
  <si>
    <t xml:space="preserve">Profile (producer / sensitivity)</t>
  </si>
  <si>
    <t xml:space="preserve">Role</t>
  </si>
  <si>
    <t xml:space="preserve">Practical advice</t>
  </si>
  <si>
    <t xml:space="preserve">Fruit</t>
  </si>
  <si>
    <t xml:space="preserve">Apple</t>
  </si>
  <si>
    <t xml:space="preserve">Carioca Fuji Apple</t>
  </si>
  <si>
    <t xml:space="preserve">high</t>
  </si>
  <si>
    <t xml:space="preserve">medium</t>
  </si>
  <si>
    <t xml:space="preserve">Strong emitter</t>
  </si>
  <si>
    <t xml:space="preserve">Speeds up ripening of neighbours. Keep apart from sensitive items; remove bruised pieces first.</t>
  </si>
  <si>
    <t xml:space="preserve">Cosmic Crisp Apple</t>
  </si>
  <si>
    <t xml:space="preserve">Fuji Apple</t>
  </si>
  <si>
    <t xml:space="preserve">Gala Apple</t>
  </si>
  <si>
    <t xml:space="preserve">Granny Smith Apple</t>
  </si>
  <si>
    <t xml:space="preserve">Organic Red Apple</t>
  </si>
  <si>
    <t xml:space="preserve">Pink Lady Apple</t>
  </si>
  <si>
    <t xml:space="preserve">Portuguese Golden Apple</t>
  </si>
  <si>
    <t xml:space="preserve">Reinette Apple</t>
  </si>
  <si>
    <t xml:space="preserve">Apricot</t>
  </si>
  <si>
    <t xml:space="preserve">Avocado</t>
  </si>
  <si>
    <t xml:space="preserve">Ready-To-Eat Hass Avocado</t>
  </si>
  <si>
    <t xml:space="preserve">Emitter AND highly sensitive</t>
  </si>
  <si>
    <t xml:space="preserve">Gives off ethylene and is damaged by it. Keep away from other emitters; give it its own space or cold-chain priority.</t>
  </si>
  <si>
    <t xml:space="preserve">Banana</t>
  </si>
  <si>
    <t xml:space="preserve">Madeira Banana</t>
  </si>
  <si>
    <t xml:space="preserve">Plantain Banana</t>
  </si>
  <si>
    <t xml:space="preserve">Cherries</t>
  </si>
  <si>
    <t xml:space="preserve">low</t>
  </si>
  <si>
    <t xml:space="preserve">Mildly sensitive, low emitter</t>
  </si>
  <si>
    <t xml:space="preserve">Low risk both ways. Avoid long exposure next to strong emitters.</t>
  </si>
  <si>
    <t xml:space="preserve">Clementine</t>
  </si>
  <si>
    <t xml:space="preserve">Granadilla</t>
  </si>
  <si>
    <t xml:space="preserve">Grapes</t>
  </si>
  <si>
    <t xml:space="preserve">Red Globe Grapes</t>
  </si>
  <si>
    <t xml:space="preserve">Neutral</t>
  </si>
  <si>
    <t xml:space="preserve">Low risk both ways. Safe neighbour for almost anything.</t>
  </si>
  <si>
    <t xml:space="preserve">White Seedless Grapes</t>
  </si>
  <si>
    <t xml:space="preserve">Guava</t>
  </si>
  <si>
    <t xml:space="preserve">Moderate emitter</t>
  </si>
  <si>
    <t xml:space="preserve">Releases some ethylene. Avoid placing next to highly sensitive items.</t>
  </si>
  <si>
    <t xml:space="preserve">Kiwi</t>
  </si>
  <si>
    <t xml:space="preserve">Organic Kiwi</t>
  </si>
  <si>
    <t xml:space="preserve">Zespri Gold Kiwi</t>
  </si>
  <si>
    <t xml:space="preserve">Zespri Kiwi</t>
  </si>
  <si>
    <t xml:space="preserve">Lemon</t>
  </si>
  <si>
    <t xml:space="preserve">Lime</t>
  </si>
  <si>
    <t xml:space="preserve">Mango</t>
  </si>
  <si>
    <t xml:space="preserve">Air-Flown Palmer Mango</t>
  </si>
  <si>
    <t xml:space="preserve">Melon</t>
  </si>
  <si>
    <t xml:space="preserve">Cantaloupe Melon</t>
  </si>
  <si>
    <t xml:space="preserve">Galia Melon</t>
  </si>
  <si>
    <t xml:space="preserve">Green Melon</t>
  </si>
  <si>
    <t xml:space="preserve">Nectarine</t>
  </si>
  <si>
    <t xml:space="preserve">Orange</t>
  </si>
  <si>
    <t xml:space="preserve">Algarve Orange</t>
  </si>
  <si>
    <t xml:space="preserve">Papaya</t>
  </si>
  <si>
    <t xml:space="preserve">Air-Flown Papaya</t>
  </si>
  <si>
    <t xml:space="preserve">Passion Fruit</t>
  </si>
  <si>
    <t xml:space="preserve">Purple Passion Fruit</t>
  </si>
  <si>
    <t xml:space="preserve">Peach</t>
  </si>
  <si>
    <t xml:space="preserve">Paraguayo Flat Peach</t>
  </si>
  <si>
    <t xml:space="preserve">Pear</t>
  </si>
  <si>
    <t xml:space="preserve">Conference Pear</t>
  </si>
  <si>
    <t xml:space="preserve">Packham Pear</t>
  </si>
  <si>
    <t xml:space="preserve">Pineapple</t>
  </si>
  <si>
    <t xml:space="preserve">Super Sweet Pineapple</t>
  </si>
  <si>
    <t xml:space="preserve">Pitaya</t>
  </si>
  <si>
    <t xml:space="preserve">Red Pitaya</t>
  </si>
  <si>
    <t xml:space="preserve">Yellow Pitaya</t>
  </si>
  <si>
    <t xml:space="preserve">Strawberries</t>
  </si>
  <si>
    <t xml:space="preserve">Watermelon</t>
  </si>
  <si>
    <t xml:space="preserve">Black Few-Seed Watermelon</t>
  </si>
  <si>
    <t xml:space="preserve">Highly sensitive, low emitter</t>
  </si>
  <si>
    <t xml:space="preserve">Harmless to neighbours but easily damaged (yellowing, softening, wilting). Keep away from emitters.</t>
  </si>
  <si>
    <t xml:space="preserve">Mini Watermelon</t>
  </si>
  <si>
    <t xml:space="preserve">Striped Few-Seed Watermelon</t>
  </si>
  <si>
    <t xml:space="preserve">Vegetable</t>
  </si>
  <si>
    <t xml:space="preserve">Broccoli</t>
  </si>
  <si>
    <t xml:space="preserve">Cabbage</t>
  </si>
  <si>
    <t xml:space="preserve">Portuguese Cabbage</t>
  </si>
  <si>
    <t xml:space="preserve">Red Cabbage</t>
  </si>
  <si>
    <t xml:space="preserve">White Cabbage</t>
  </si>
  <si>
    <t xml:space="preserve">Cauliflower</t>
  </si>
  <si>
    <t xml:space="preserve">Chayote</t>
  </si>
  <si>
    <t xml:space="preserve">Cucumber</t>
  </si>
  <si>
    <t xml:space="preserve">Eggplant</t>
  </si>
  <si>
    <t xml:space="preserve">Garlic</t>
  </si>
  <si>
    <t xml:space="preserve">Dry Garlic</t>
  </si>
  <si>
    <t xml:space="preserve">Ginger</t>
  </si>
  <si>
    <t xml:space="preserve">Green Beans</t>
  </si>
  <si>
    <t xml:space="preserve">Lettuce</t>
  </si>
  <si>
    <t xml:space="preserve">Frisee Lettuce</t>
  </si>
  <si>
    <t xml:space="preserve">Onion</t>
  </si>
  <si>
    <t xml:space="preserve">French Baby Onion</t>
  </si>
  <si>
    <t xml:space="preserve">New Onion</t>
  </si>
  <si>
    <t xml:space="preserve">Red Onion</t>
  </si>
  <si>
    <t xml:space="preserve">Sweet Onion</t>
  </si>
  <si>
    <t xml:space="preserve">Pepper</t>
  </si>
  <si>
    <t xml:space="preserve">Green Bell Pepper</t>
  </si>
  <si>
    <t xml:space="preserve">Red Bell Pepper</t>
  </si>
  <si>
    <t xml:space="preserve">Potato</t>
  </si>
  <si>
    <t xml:space="preserve">Red Potato</t>
  </si>
  <si>
    <t xml:space="preserve">Roasting Potato</t>
  </si>
  <si>
    <t xml:space="preserve">Special Boiling Potato</t>
  </si>
  <si>
    <t xml:space="preserve">White Potato</t>
  </si>
  <si>
    <t xml:space="preserve">Zero-Residue Potato</t>
  </si>
  <si>
    <t xml:space="preserve">Pumpkin</t>
  </si>
  <si>
    <t xml:space="preserve">Hokkaido Pumpkin</t>
  </si>
  <si>
    <t xml:space="preserve">Sweet Potato</t>
  </si>
  <si>
    <t xml:space="preserve">Tomato</t>
  </si>
  <si>
    <t xml:space="preserve">Mini Red Plum Tomato</t>
  </si>
  <si>
    <t xml:space="preserve">Mini Vine Tomato</t>
  </si>
  <si>
    <t xml:space="preserve">Organic Cherry Tomato</t>
  </si>
  <si>
    <t xml:space="preserve">Oxheart Tomato</t>
  </si>
  <si>
    <t xml:space="preserve">Plum Tomato</t>
  </si>
  <si>
    <t xml:space="preserve">Red Cherry Tomato</t>
  </si>
  <si>
    <t xml:space="preserve">Round Tomato</t>
  </si>
  <si>
    <t xml:space="preserve">Sweet Mini Plum Tomato</t>
  </si>
  <si>
    <t xml:space="preserve">Tasty Tomato</t>
  </si>
  <si>
    <t xml:space="preserve">Vine Tomato</t>
  </si>
  <si>
    <t xml:space="preserve">Zero-Residue Tomato</t>
  </si>
  <si>
    <t xml:space="preserve">Zucchini</t>
  </si>
  <si>
    <t xml:space="preserve">Green Zucchini</t>
  </si>
  <si>
    <t xml:space="preserve">Ethylene intersections: producer level (rows) x sensitivity level (columns)</t>
  </si>
  <si>
    <t xml:space="preserve">Counts are formulas over the Profiles sheet. Type lists below each count are the fruit/vegetable types in that cell (melon splits by product: cantaloupe and galia are high producers, green melon is low).</t>
  </si>
  <si>
    <t xml:space="preserve">Producer \ Sensitive</t>
  </si>
  <si>
    <t xml:space="preserve">High sensitivity</t>
  </si>
  <si>
    <t xml:space="preserve">Medium sensitivity</t>
  </si>
  <si>
    <t xml:space="preserve">Low sensitivity</t>
  </si>
  <si>
    <t xml:space="preserve">High producer</t>
  </si>
  <si>
    <t xml:space="preserve">Avocado, Kiwi</t>
  </si>
  <si>
    <t xml:space="preserve">Apple, Apricot, Granadilla, Melon, Nectarine, Papaya, Passion Fruit, Peach, Pear</t>
  </si>
  <si>
    <t xml:space="preserve">(none)</t>
  </si>
  <si>
    <t xml:space="preserve">Medium producer</t>
  </si>
  <si>
    <t xml:space="preserve">Banana, Tomato</t>
  </si>
  <si>
    <t xml:space="preserve">Guava, Mango</t>
  </si>
  <si>
    <t xml:space="preserve">Low producer</t>
  </si>
  <si>
    <t xml:space="preserve">Broccoli, Cabbage, Cauliflower, Cucumber, Eggplant, Green Beans, Lettuce, Watermelon</t>
  </si>
  <si>
    <t xml:space="preserve">Chayote, Cherries, Clementine, Ginger, Lemon, Lime, Melon, Orange, Pepper, Pineapple, Pumpkin, Zucchini</t>
  </si>
  <si>
    <t xml:space="preserve">Garlic, Grapes, Onion, Pitaya, Potato, Strawberries, Sweet Potato</t>
  </si>
  <si>
    <t xml:space="preserve">How to read it</t>
  </si>
  <si>
    <t xml:space="preserve">Top-left (high producer, high sensitivity): emitters that are also victims. Avocado and kiwi sit here, and tomato is a medium producer with high sensitivity.</t>
  </si>
  <si>
    <t xml:space="preserve">Left column (high sensitivity): the most damaged by neighbours. Keep these away from the top row.</t>
  </si>
  <si>
    <t xml:space="preserve">Top row (high producer): the main source of ethylene. Keep these away from the left column.</t>
  </si>
  <si>
    <t xml:space="preserve">Bottom-right (low producer, low sensitivity): neutral products, safe next to anything.</t>
  </si>
  <si>
    <t xml:space="preserve">Source: ethylene_producer and ethylene_sensitive columns from produce_biology_reference.csv (mostly medium confidence in the original file, so verify high-risk entries).</t>
  </si>
  <si>
    <t xml:space="preserve">Role and advice text are generated from the producer/sensitivity levels with a simple rule: medium/high producer + high sensitivity = emitter and victim; high producer = strong emitter; medium producer = moderate emitter; low producer + high/medium sensitivity = victim only; low/low = neutral.</t>
  </si>
  <si>
    <t xml:space="preserve">Category (fruit/vegetable) follows culinary classification, as in the previous workbook.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</si>
</sst>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4" t="s">
        <v>12</v>
      </c>
      <c r="F2" s="2" t="str">
        <f aca="false">PROPER(D2)&amp;" producer / "&amp;PROPER(E2)&amp;" sensitivity"</f>
        <v>High producer / Medium sensitivity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15</v>
      </c>
      <c r="D3" s="3" t="s">
        <v>11</v>
      </c>
      <c r="E3" s="4" t="s">
        <v>12</v>
      </c>
      <c r="F3" s="2" t="str">
        <f aca="false">PROPER(D3)&amp;" producer / "&amp;PROPER(E3)&amp;" sensitivity"</f>
        <v>High producer / Medium sensitivity</v>
      </c>
      <c r="G3" s="2" t="s">
        <v>13</v>
      </c>
      <c r="H3" s="2" t="s">
        <v>14</v>
      </c>
    </row>
    <row r="4" customFormat="false" ht="23.85" hidden="false" customHeight="false" outlineLevel="0" collapsed="false">
      <c r="A4" s="2" t="s">
        <v>8</v>
      </c>
      <c r="B4" s="2" t="s">
        <v>9</v>
      </c>
      <c r="C4" s="2" t="s">
        <v>16</v>
      </c>
      <c r="D4" s="3" t="s">
        <v>11</v>
      </c>
      <c r="E4" s="4" t="s">
        <v>12</v>
      </c>
      <c r="F4" s="2" t="str">
        <f aca="false">PROPER(D4)&amp;" producer / "&amp;PROPER(E4)&amp;" sensitivity"</f>
        <v>High producer / Medium sensitivity</v>
      </c>
      <c r="G4" s="2" t="s">
        <v>13</v>
      </c>
      <c r="H4" s="2" t="s">
        <v>14</v>
      </c>
    </row>
    <row r="5" customFormat="false" ht="23.85" hidden="false" customHeight="false" outlineLevel="0" collapsed="false">
      <c r="A5" s="2" t="s">
        <v>8</v>
      </c>
      <c r="B5" s="2" t="s">
        <v>9</v>
      </c>
      <c r="C5" s="2" t="s">
        <v>17</v>
      </c>
      <c r="D5" s="3" t="s">
        <v>11</v>
      </c>
      <c r="E5" s="4" t="s">
        <v>12</v>
      </c>
      <c r="F5" s="2" t="str">
        <f aca="false">PROPER(D5)&amp;" producer / "&amp;PROPER(E5)&amp;" sensitivity"</f>
        <v>High producer / Medium sensitivity</v>
      </c>
      <c r="G5" s="2" t="s">
        <v>13</v>
      </c>
      <c r="H5" s="2" t="s">
        <v>14</v>
      </c>
    </row>
    <row r="6" customFormat="false" ht="23.85" hidden="false" customHeight="false" outlineLevel="0" collapsed="false">
      <c r="A6" s="2" t="s">
        <v>8</v>
      </c>
      <c r="B6" s="2" t="s">
        <v>9</v>
      </c>
      <c r="C6" s="2" t="s">
        <v>18</v>
      </c>
      <c r="D6" s="3" t="s">
        <v>11</v>
      </c>
      <c r="E6" s="4" t="s">
        <v>12</v>
      </c>
      <c r="F6" s="2" t="str">
        <f aca="false">PROPER(D6)&amp;" producer / "&amp;PROPER(E6)&amp;" sensitivity"</f>
        <v>High producer / Medium sensitivity</v>
      </c>
      <c r="G6" s="2" t="s">
        <v>13</v>
      </c>
      <c r="H6" s="2" t="s">
        <v>14</v>
      </c>
    </row>
    <row r="7" customFormat="false" ht="23.85" hidden="false" customHeight="false" outlineLevel="0" collapsed="false">
      <c r="A7" s="2" t="s">
        <v>8</v>
      </c>
      <c r="B7" s="2" t="s">
        <v>9</v>
      </c>
      <c r="C7" s="2" t="s">
        <v>19</v>
      </c>
      <c r="D7" s="3" t="s">
        <v>11</v>
      </c>
      <c r="E7" s="4" t="s">
        <v>12</v>
      </c>
      <c r="F7" s="2" t="str">
        <f aca="false">PROPER(D7)&amp;" producer / "&amp;PROPER(E7)&amp;" sensitivity"</f>
        <v>High producer / Medium sensitivity</v>
      </c>
      <c r="G7" s="2" t="s">
        <v>13</v>
      </c>
      <c r="H7" s="2" t="s">
        <v>14</v>
      </c>
    </row>
    <row r="8" customFormat="false" ht="23.85" hidden="false" customHeight="false" outlineLevel="0" collapsed="false">
      <c r="A8" s="2" t="s">
        <v>8</v>
      </c>
      <c r="B8" s="2" t="s">
        <v>9</v>
      </c>
      <c r="C8" s="2" t="s">
        <v>20</v>
      </c>
      <c r="D8" s="3" t="s">
        <v>11</v>
      </c>
      <c r="E8" s="4" t="s">
        <v>12</v>
      </c>
      <c r="F8" s="2" t="str">
        <f aca="false">PROPER(D8)&amp;" producer / "&amp;PROPER(E8)&amp;" sensitivity"</f>
        <v>High producer / Medium sensitivity</v>
      </c>
      <c r="G8" s="2" t="s">
        <v>13</v>
      </c>
      <c r="H8" s="2" t="s">
        <v>14</v>
      </c>
    </row>
    <row r="9" customFormat="false" ht="23.85" hidden="false" customHeight="false" outlineLevel="0" collapsed="false">
      <c r="A9" s="2" t="s">
        <v>8</v>
      </c>
      <c r="B9" s="2" t="s">
        <v>9</v>
      </c>
      <c r="C9" s="2" t="s">
        <v>21</v>
      </c>
      <c r="D9" s="3" t="s">
        <v>11</v>
      </c>
      <c r="E9" s="4" t="s">
        <v>12</v>
      </c>
      <c r="F9" s="2" t="str">
        <f aca="false">PROPER(D9)&amp;" producer / "&amp;PROPER(E9)&amp;" sensitivity"</f>
        <v>High producer / Medium sensitivity</v>
      </c>
      <c r="G9" s="2" t="s">
        <v>13</v>
      </c>
      <c r="H9" s="2" t="s">
        <v>14</v>
      </c>
    </row>
    <row r="10" customFormat="false" ht="23.85" hidden="false" customHeight="false" outlineLevel="0" collapsed="false">
      <c r="A10" s="2" t="s">
        <v>8</v>
      </c>
      <c r="B10" s="2" t="s">
        <v>9</v>
      </c>
      <c r="C10" s="2" t="s">
        <v>22</v>
      </c>
      <c r="D10" s="3" t="s">
        <v>11</v>
      </c>
      <c r="E10" s="4" t="s">
        <v>12</v>
      </c>
      <c r="F10" s="2" t="str">
        <f aca="false">PROPER(D10)&amp;" producer / "&amp;PROPER(E10)&amp;" sensitivity"</f>
        <v>High producer / Medium sensitivity</v>
      </c>
      <c r="G10" s="2" t="s">
        <v>13</v>
      </c>
      <c r="H10" s="2" t="s">
        <v>14</v>
      </c>
    </row>
    <row r="11" customFormat="false" ht="23.85" hidden="false" customHeight="false" outlineLevel="0" collapsed="false">
      <c r="A11" s="2" t="s">
        <v>8</v>
      </c>
      <c r="B11" s="2" t="s">
        <v>23</v>
      </c>
      <c r="C11" s="2" t="s">
        <v>23</v>
      </c>
      <c r="D11" s="3" t="s">
        <v>11</v>
      </c>
      <c r="E11" s="4" t="s">
        <v>12</v>
      </c>
      <c r="F11" s="2" t="str">
        <f aca="false">PROPER(D11)&amp;" producer / "&amp;PROPER(E11)&amp;" sensitivity"</f>
        <v>High producer / Medium sensitivity</v>
      </c>
      <c r="G11" s="2" t="s">
        <v>13</v>
      </c>
      <c r="H11" s="2" t="s">
        <v>14</v>
      </c>
    </row>
    <row r="12" customFormat="false" ht="23.85" hidden="false" customHeight="false" outlineLevel="0" collapsed="false">
      <c r="A12" s="2" t="s">
        <v>8</v>
      </c>
      <c r="B12" s="2" t="s">
        <v>24</v>
      </c>
      <c r="C12" s="2" t="s">
        <v>25</v>
      </c>
      <c r="D12" s="3" t="s">
        <v>11</v>
      </c>
      <c r="E12" s="3" t="s">
        <v>11</v>
      </c>
      <c r="F12" s="2" t="str">
        <f aca="false">PROPER(D12)&amp;" producer / "&amp;PROPER(E12)&amp;" sensitivity"</f>
        <v>High producer / High sensitivity</v>
      </c>
      <c r="G12" s="2" t="s">
        <v>26</v>
      </c>
      <c r="H12" s="2" t="s">
        <v>27</v>
      </c>
    </row>
    <row r="13" customFormat="false" ht="23.85" hidden="false" customHeight="false" outlineLevel="0" collapsed="false">
      <c r="A13" s="2" t="s">
        <v>8</v>
      </c>
      <c r="B13" s="2" t="s">
        <v>28</v>
      </c>
      <c r="C13" s="2" t="s">
        <v>28</v>
      </c>
      <c r="D13" s="4" t="s">
        <v>12</v>
      </c>
      <c r="E13" s="3" t="s">
        <v>11</v>
      </c>
      <c r="F13" s="2" t="str">
        <f aca="false">PROPER(D13)&amp;" producer / "&amp;PROPER(E13)&amp;" sensitivity"</f>
        <v>Medium producer / High sensitivity</v>
      </c>
      <c r="G13" s="2" t="s">
        <v>26</v>
      </c>
      <c r="H13" s="2" t="s">
        <v>27</v>
      </c>
    </row>
    <row r="14" customFormat="false" ht="23.85" hidden="false" customHeight="false" outlineLevel="0" collapsed="false">
      <c r="A14" s="2" t="s">
        <v>8</v>
      </c>
      <c r="B14" s="2" t="s">
        <v>28</v>
      </c>
      <c r="C14" s="2" t="s">
        <v>29</v>
      </c>
      <c r="D14" s="4" t="s">
        <v>12</v>
      </c>
      <c r="E14" s="3" t="s">
        <v>11</v>
      </c>
      <c r="F14" s="2" t="str">
        <f aca="false">PROPER(D14)&amp;" producer / "&amp;PROPER(E14)&amp;" sensitivity"</f>
        <v>Medium producer / High sensitivity</v>
      </c>
      <c r="G14" s="2" t="s">
        <v>26</v>
      </c>
      <c r="H14" s="2" t="s">
        <v>27</v>
      </c>
    </row>
    <row r="15" customFormat="false" ht="23.85" hidden="false" customHeight="false" outlineLevel="0" collapsed="false">
      <c r="A15" s="2" t="s">
        <v>8</v>
      </c>
      <c r="B15" s="2" t="s">
        <v>28</v>
      </c>
      <c r="C15" s="2" t="s">
        <v>30</v>
      </c>
      <c r="D15" s="4" t="s">
        <v>12</v>
      </c>
      <c r="E15" s="3" t="s">
        <v>11</v>
      </c>
      <c r="F15" s="2" t="str">
        <f aca="false">PROPER(D15)&amp;" producer / "&amp;PROPER(E15)&amp;" sensitivity"</f>
        <v>Medium producer / High sensitivity</v>
      </c>
      <c r="G15" s="2" t="s">
        <v>26</v>
      </c>
      <c r="H15" s="2" t="s">
        <v>27</v>
      </c>
    </row>
    <row r="16" customFormat="false" ht="15" hidden="false" customHeight="false" outlineLevel="0" collapsed="false">
      <c r="A16" s="2" t="s">
        <v>8</v>
      </c>
      <c r="B16" s="2" t="s">
        <v>31</v>
      </c>
      <c r="C16" s="2" t="s">
        <v>31</v>
      </c>
      <c r="D16" s="5" t="s">
        <v>32</v>
      </c>
      <c r="E16" s="4" t="s">
        <v>12</v>
      </c>
      <c r="F16" s="2" t="str">
        <f aca="false">PROPER(D16)&amp;" producer / "&amp;PROPER(E16)&amp;" sensitivity"</f>
        <v>Low producer / Medium sensitivity</v>
      </c>
      <c r="G16" s="2" t="s">
        <v>33</v>
      </c>
      <c r="H16" s="2" t="s">
        <v>34</v>
      </c>
    </row>
    <row r="17" customFormat="false" ht="15" hidden="false" customHeight="false" outlineLevel="0" collapsed="false">
      <c r="A17" s="2" t="s">
        <v>8</v>
      </c>
      <c r="B17" s="2" t="s">
        <v>35</v>
      </c>
      <c r="C17" s="2" t="s">
        <v>35</v>
      </c>
      <c r="D17" s="5" t="s">
        <v>32</v>
      </c>
      <c r="E17" s="4" t="s">
        <v>12</v>
      </c>
      <c r="F17" s="2" t="str">
        <f aca="false">PROPER(D17)&amp;" producer / "&amp;PROPER(E17)&amp;" sensitivity"</f>
        <v>Low producer / Medium sensitivity</v>
      </c>
      <c r="G17" s="2" t="s">
        <v>33</v>
      </c>
      <c r="H17" s="2" t="s">
        <v>34</v>
      </c>
    </row>
    <row r="18" customFormat="false" ht="23.85" hidden="false" customHeight="false" outlineLevel="0" collapsed="false">
      <c r="A18" s="2" t="s">
        <v>8</v>
      </c>
      <c r="B18" s="2" t="s">
        <v>36</v>
      </c>
      <c r="C18" s="2" t="s">
        <v>36</v>
      </c>
      <c r="D18" s="3" t="s">
        <v>11</v>
      </c>
      <c r="E18" s="4" t="s">
        <v>12</v>
      </c>
      <c r="F18" s="2" t="str">
        <f aca="false">PROPER(D18)&amp;" producer / "&amp;PROPER(E18)&amp;" sensitivity"</f>
        <v>High producer / Medium sensitivity</v>
      </c>
      <c r="G18" s="2" t="s">
        <v>13</v>
      </c>
      <c r="H18" s="2" t="s">
        <v>14</v>
      </c>
    </row>
    <row r="19" customFormat="false" ht="15" hidden="false" customHeight="false" outlineLevel="0" collapsed="false">
      <c r="A19" s="2" t="s">
        <v>8</v>
      </c>
      <c r="B19" s="2" t="s">
        <v>37</v>
      </c>
      <c r="C19" s="2" t="s">
        <v>38</v>
      </c>
      <c r="D19" s="5" t="s">
        <v>32</v>
      </c>
      <c r="E19" s="5" t="s">
        <v>32</v>
      </c>
      <c r="F19" s="2" t="str">
        <f aca="false">PROPER(D19)&amp;" producer / "&amp;PROPER(E19)&amp;" sensitivity"</f>
        <v>Low producer / Low sensitivity</v>
      </c>
      <c r="G19" s="2" t="s">
        <v>39</v>
      </c>
      <c r="H19" s="2" t="s">
        <v>40</v>
      </c>
    </row>
    <row r="20" customFormat="false" ht="15" hidden="false" customHeight="false" outlineLevel="0" collapsed="false">
      <c r="A20" s="2" t="s">
        <v>8</v>
      </c>
      <c r="B20" s="2" t="s">
        <v>37</v>
      </c>
      <c r="C20" s="2" t="s">
        <v>41</v>
      </c>
      <c r="D20" s="5" t="s">
        <v>32</v>
      </c>
      <c r="E20" s="5" t="s">
        <v>32</v>
      </c>
      <c r="F20" s="2" t="str">
        <f aca="false">PROPER(D20)&amp;" producer / "&amp;PROPER(E20)&amp;" sensitivity"</f>
        <v>Low producer / Low sensitivity</v>
      </c>
      <c r="G20" s="2" t="s">
        <v>39</v>
      </c>
      <c r="H20" s="2" t="s">
        <v>40</v>
      </c>
    </row>
    <row r="21" customFormat="false" ht="15" hidden="false" customHeight="false" outlineLevel="0" collapsed="false">
      <c r="A21" s="2" t="s">
        <v>8</v>
      </c>
      <c r="B21" s="2" t="s">
        <v>42</v>
      </c>
      <c r="C21" s="2" t="s">
        <v>42</v>
      </c>
      <c r="D21" s="4" t="s">
        <v>12</v>
      </c>
      <c r="E21" s="4" t="s">
        <v>12</v>
      </c>
      <c r="F21" s="2" t="str">
        <f aca="false">PROPER(D21)&amp;" producer / "&amp;PROPER(E21)&amp;" sensitivity"</f>
        <v>Medium producer / Medium sensitivity</v>
      </c>
      <c r="G21" s="2" t="s">
        <v>43</v>
      </c>
      <c r="H21" s="2" t="s">
        <v>44</v>
      </c>
    </row>
    <row r="22" customFormat="false" ht="23.85" hidden="false" customHeight="false" outlineLevel="0" collapsed="false">
      <c r="A22" s="2" t="s">
        <v>8</v>
      </c>
      <c r="B22" s="2" t="s">
        <v>45</v>
      </c>
      <c r="C22" s="2" t="s">
        <v>46</v>
      </c>
      <c r="D22" s="3" t="s">
        <v>11</v>
      </c>
      <c r="E22" s="3" t="s">
        <v>11</v>
      </c>
      <c r="F22" s="2" t="str">
        <f aca="false">PROPER(D22)&amp;" producer / "&amp;PROPER(E22)&amp;" sensitivity"</f>
        <v>High producer / High sensitivity</v>
      </c>
      <c r="G22" s="2" t="s">
        <v>26</v>
      </c>
      <c r="H22" s="2" t="s">
        <v>27</v>
      </c>
    </row>
    <row r="23" customFormat="false" ht="23.85" hidden="false" customHeight="false" outlineLevel="0" collapsed="false">
      <c r="A23" s="2" t="s">
        <v>8</v>
      </c>
      <c r="B23" s="2" t="s">
        <v>45</v>
      </c>
      <c r="C23" s="2" t="s">
        <v>47</v>
      </c>
      <c r="D23" s="3" t="s">
        <v>11</v>
      </c>
      <c r="E23" s="3" t="s">
        <v>11</v>
      </c>
      <c r="F23" s="2" t="str">
        <f aca="false">PROPER(D23)&amp;" producer / "&amp;PROPER(E23)&amp;" sensitivity"</f>
        <v>High producer / High sensitivity</v>
      </c>
      <c r="G23" s="2" t="s">
        <v>26</v>
      </c>
      <c r="H23" s="2" t="s">
        <v>27</v>
      </c>
    </row>
    <row r="24" customFormat="false" ht="23.85" hidden="false" customHeight="false" outlineLevel="0" collapsed="false">
      <c r="A24" s="2" t="s">
        <v>8</v>
      </c>
      <c r="B24" s="2" t="s">
        <v>45</v>
      </c>
      <c r="C24" s="2" t="s">
        <v>48</v>
      </c>
      <c r="D24" s="3" t="s">
        <v>11</v>
      </c>
      <c r="E24" s="3" t="s">
        <v>11</v>
      </c>
      <c r="F24" s="2" t="str">
        <f aca="false">PROPER(D24)&amp;" producer / "&amp;PROPER(E24)&amp;" sensitivity"</f>
        <v>High producer / High sensitivity</v>
      </c>
      <c r="G24" s="2" t="s">
        <v>26</v>
      </c>
      <c r="H24" s="2" t="s">
        <v>27</v>
      </c>
    </row>
    <row r="25" customFormat="false" ht="15" hidden="false" customHeight="false" outlineLevel="0" collapsed="false">
      <c r="A25" s="2" t="s">
        <v>8</v>
      </c>
      <c r="B25" s="2" t="s">
        <v>49</v>
      </c>
      <c r="C25" s="2" t="s">
        <v>49</v>
      </c>
      <c r="D25" s="5" t="s">
        <v>32</v>
      </c>
      <c r="E25" s="4" t="s">
        <v>12</v>
      </c>
      <c r="F25" s="2" t="str">
        <f aca="false">PROPER(D25)&amp;" producer / "&amp;PROPER(E25)&amp;" sensitivity"</f>
        <v>Low producer / Medium sensitivity</v>
      </c>
      <c r="G25" s="2" t="s">
        <v>33</v>
      </c>
      <c r="H25" s="2" t="s">
        <v>34</v>
      </c>
    </row>
    <row r="26" customFormat="false" ht="15" hidden="false" customHeight="false" outlineLevel="0" collapsed="false">
      <c r="A26" s="2" t="s">
        <v>8</v>
      </c>
      <c r="B26" s="2" t="s">
        <v>50</v>
      </c>
      <c r="C26" s="2" t="s">
        <v>50</v>
      </c>
      <c r="D26" s="5" t="s">
        <v>32</v>
      </c>
      <c r="E26" s="4" t="s">
        <v>12</v>
      </c>
      <c r="F26" s="2" t="str">
        <f aca="false">PROPER(D26)&amp;" producer / "&amp;PROPER(E26)&amp;" sensitivity"</f>
        <v>Low producer / Medium sensitivity</v>
      </c>
      <c r="G26" s="2" t="s">
        <v>33</v>
      </c>
      <c r="H26" s="2" t="s">
        <v>34</v>
      </c>
    </row>
    <row r="27" customFormat="false" ht="15" hidden="false" customHeight="false" outlineLevel="0" collapsed="false">
      <c r="A27" s="2" t="s">
        <v>8</v>
      </c>
      <c r="B27" s="2" t="s">
        <v>51</v>
      </c>
      <c r="C27" s="2" t="s">
        <v>52</v>
      </c>
      <c r="D27" s="4" t="s">
        <v>12</v>
      </c>
      <c r="E27" s="4" t="s">
        <v>12</v>
      </c>
      <c r="F27" s="2" t="str">
        <f aca="false">PROPER(D27)&amp;" producer / "&amp;PROPER(E27)&amp;" sensitivity"</f>
        <v>Medium producer / Medium sensitivity</v>
      </c>
      <c r="G27" s="2" t="s">
        <v>43</v>
      </c>
      <c r="H27" s="2" t="s">
        <v>44</v>
      </c>
    </row>
    <row r="28" customFormat="false" ht="15" hidden="false" customHeight="false" outlineLevel="0" collapsed="false">
      <c r="A28" s="2" t="s">
        <v>8</v>
      </c>
      <c r="B28" s="2" t="s">
        <v>51</v>
      </c>
      <c r="C28" s="2" t="s">
        <v>51</v>
      </c>
      <c r="D28" s="4" t="s">
        <v>12</v>
      </c>
      <c r="E28" s="4" t="s">
        <v>12</v>
      </c>
      <c r="F28" s="2" t="str">
        <f aca="false">PROPER(D28)&amp;" producer / "&amp;PROPER(E28)&amp;" sensitivity"</f>
        <v>Medium producer / Medium sensitivity</v>
      </c>
      <c r="G28" s="2" t="s">
        <v>43</v>
      </c>
      <c r="H28" s="2" t="s">
        <v>44</v>
      </c>
    </row>
    <row r="29" customFormat="false" ht="23.85" hidden="false" customHeight="false" outlineLevel="0" collapsed="false">
      <c r="A29" s="2" t="s">
        <v>8</v>
      </c>
      <c r="B29" s="2" t="s">
        <v>53</v>
      </c>
      <c r="C29" s="2" t="s">
        <v>54</v>
      </c>
      <c r="D29" s="3" t="s">
        <v>11</v>
      </c>
      <c r="E29" s="4" t="s">
        <v>12</v>
      </c>
      <c r="F29" s="2" t="str">
        <f aca="false">PROPER(D29)&amp;" producer / "&amp;PROPER(E29)&amp;" sensitivity"</f>
        <v>High producer / Medium sensitivity</v>
      </c>
      <c r="G29" s="2" t="s">
        <v>13</v>
      </c>
      <c r="H29" s="2" t="s">
        <v>14</v>
      </c>
    </row>
    <row r="30" customFormat="false" ht="23.85" hidden="false" customHeight="false" outlineLevel="0" collapsed="false">
      <c r="A30" s="2" t="s">
        <v>8</v>
      </c>
      <c r="B30" s="2" t="s">
        <v>53</v>
      </c>
      <c r="C30" s="2" t="s">
        <v>55</v>
      </c>
      <c r="D30" s="3" t="s">
        <v>11</v>
      </c>
      <c r="E30" s="4" t="s">
        <v>12</v>
      </c>
      <c r="F30" s="2" t="str">
        <f aca="false">PROPER(D30)&amp;" producer / "&amp;PROPER(E30)&amp;" sensitivity"</f>
        <v>High producer / Medium sensitivity</v>
      </c>
      <c r="G30" s="2" t="s">
        <v>13</v>
      </c>
      <c r="H30" s="2" t="s">
        <v>14</v>
      </c>
    </row>
    <row r="31" customFormat="false" ht="15" hidden="false" customHeight="false" outlineLevel="0" collapsed="false">
      <c r="A31" s="2" t="s">
        <v>8</v>
      </c>
      <c r="B31" s="2" t="s">
        <v>53</v>
      </c>
      <c r="C31" s="2" t="s">
        <v>56</v>
      </c>
      <c r="D31" s="5" t="s">
        <v>32</v>
      </c>
      <c r="E31" s="4" t="s">
        <v>12</v>
      </c>
      <c r="F31" s="2" t="str">
        <f aca="false">PROPER(D31)&amp;" producer / "&amp;PROPER(E31)&amp;" sensitivity"</f>
        <v>Low producer / Medium sensitivity</v>
      </c>
      <c r="G31" s="2" t="s">
        <v>33</v>
      </c>
      <c r="H31" s="2" t="s">
        <v>34</v>
      </c>
    </row>
    <row r="32" customFormat="false" ht="23.85" hidden="false" customHeight="false" outlineLevel="0" collapsed="false">
      <c r="A32" s="2" t="s">
        <v>8</v>
      </c>
      <c r="B32" s="2" t="s">
        <v>57</v>
      </c>
      <c r="C32" s="2" t="s">
        <v>57</v>
      </c>
      <c r="D32" s="3" t="s">
        <v>11</v>
      </c>
      <c r="E32" s="4" t="s">
        <v>12</v>
      </c>
      <c r="F32" s="2" t="str">
        <f aca="false">PROPER(D32)&amp;" producer / "&amp;PROPER(E32)&amp;" sensitivity"</f>
        <v>High producer / Medium sensitivity</v>
      </c>
      <c r="G32" s="2" t="s">
        <v>13</v>
      </c>
      <c r="H32" s="2" t="s">
        <v>14</v>
      </c>
    </row>
    <row r="33" customFormat="false" ht="15" hidden="false" customHeight="false" outlineLevel="0" collapsed="false">
      <c r="A33" s="2" t="s">
        <v>8</v>
      </c>
      <c r="B33" s="2" t="s">
        <v>58</v>
      </c>
      <c r="C33" s="2" t="s">
        <v>59</v>
      </c>
      <c r="D33" s="5" t="s">
        <v>32</v>
      </c>
      <c r="E33" s="4" t="s">
        <v>12</v>
      </c>
      <c r="F33" s="2" t="str">
        <f aca="false">PROPER(D33)&amp;" producer / "&amp;PROPER(E33)&amp;" sensitivity"</f>
        <v>Low producer / Medium sensitivity</v>
      </c>
      <c r="G33" s="2" t="s">
        <v>33</v>
      </c>
      <c r="H33" s="2" t="s">
        <v>34</v>
      </c>
    </row>
    <row r="34" customFormat="false" ht="23.85" hidden="false" customHeight="false" outlineLevel="0" collapsed="false">
      <c r="A34" s="2" t="s">
        <v>8</v>
      </c>
      <c r="B34" s="2" t="s">
        <v>60</v>
      </c>
      <c r="C34" s="2" t="s">
        <v>61</v>
      </c>
      <c r="D34" s="3" t="s">
        <v>11</v>
      </c>
      <c r="E34" s="4" t="s">
        <v>12</v>
      </c>
      <c r="F34" s="2" t="str">
        <f aca="false">PROPER(D34)&amp;" producer / "&amp;PROPER(E34)&amp;" sensitivity"</f>
        <v>High producer / Medium sensitivity</v>
      </c>
      <c r="G34" s="2" t="s">
        <v>13</v>
      </c>
      <c r="H34" s="2" t="s">
        <v>14</v>
      </c>
    </row>
    <row r="35" customFormat="false" ht="23.85" hidden="false" customHeight="false" outlineLevel="0" collapsed="false">
      <c r="A35" s="2" t="s">
        <v>8</v>
      </c>
      <c r="B35" s="2" t="s">
        <v>60</v>
      </c>
      <c r="C35" s="2" t="s">
        <v>60</v>
      </c>
      <c r="D35" s="3" t="s">
        <v>11</v>
      </c>
      <c r="E35" s="4" t="s">
        <v>12</v>
      </c>
      <c r="F35" s="2" t="str">
        <f aca="false">PROPER(D35)&amp;" producer / "&amp;PROPER(E35)&amp;" sensitivity"</f>
        <v>High producer / Medium sensitivity</v>
      </c>
      <c r="G35" s="2" t="s">
        <v>13</v>
      </c>
      <c r="H35" s="2" t="s">
        <v>14</v>
      </c>
    </row>
    <row r="36" customFormat="false" ht="23.85" hidden="false" customHeight="false" outlineLevel="0" collapsed="false">
      <c r="A36" s="2" t="s">
        <v>8</v>
      </c>
      <c r="B36" s="2" t="s">
        <v>62</v>
      </c>
      <c r="C36" s="2" t="s">
        <v>63</v>
      </c>
      <c r="D36" s="3" t="s">
        <v>11</v>
      </c>
      <c r="E36" s="4" t="s">
        <v>12</v>
      </c>
      <c r="F36" s="2" t="str">
        <f aca="false">PROPER(D36)&amp;" producer / "&amp;PROPER(E36)&amp;" sensitivity"</f>
        <v>High producer / Medium sensitivity</v>
      </c>
      <c r="G36" s="2" t="s">
        <v>13</v>
      </c>
      <c r="H36" s="2" t="s">
        <v>14</v>
      </c>
    </row>
    <row r="37" customFormat="false" ht="23.85" hidden="false" customHeight="false" outlineLevel="0" collapsed="false">
      <c r="A37" s="2" t="s">
        <v>8</v>
      </c>
      <c r="B37" s="2" t="s">
        <v>64</v>
      </c>
      <c r="C37" s="2" t="s">
        <v>65</v>
      </c>
      <c r="D37" s="3" t="s">
        <v>11</v>
      </c>
      <c r="E37" s="4" t="s">
        <v>12</v>
      </c>
      <c r="F37" s="2" t="str">
        <f aca="false">PROPER(D37)&amp;" producer / "&amp;PROPER(E37)&amp;" sensitivity"</f>
        <v>High producer / Medium sensitivity</v>
      </c>
      <c r="G37" s="2" t="s">
        <v>13</v>
      </c>
      <c r="H37" s="2" t="s">
        <v>14</v>
      </c>
    </row>
    <row r="38" customFormat="false" ht="23.85" hidden="false" customHeight="false" outlineLevel="0" collapsed="false">
      <c r="A38" s="2" t="s">
        <v>8</v>
      </c>
      <c r="B38" s="2" t="s">
        <v>64</v>
      </c>
      <c r="C38" s="2" t="s">
        <v>64</v>
      </c>
      <c r="D38" s="3" t="s">
        <v>11</v>
      </c>
      <c r="E38" s="4" t="s">
        <v>12</v>
      </c>
      <c r="F38" s="2" t="str">
        <f aca="false">PROPER(D38)&amp;" producer / "&amp;PROPER(E38)&amp;" sensitivity"</f>
        <v>High producer / Medium sensitivity</v>
      </c>
      <c r="G38" s="2" t="s">
        <v>13</v>
      </c>
      <c r="H38" s="2" t="s">
        <v>14</v>
      </c>
    </row>
    <row r="39" customFormat="false" ht="23.85" hidden="false" customHeight="false" outlineLevel="0" collapsed="false">
      <c r="A39" s="2" t="s">
        <v>8</v>
      </c>
      <c r="B39" s="2" t="s">
        <v>66</v>
      </c>
      <c r="C39" s="2" t="s">
        <v>67</v>
      </c>
      <c r="D39" s="3" t="s">
        <v>11</v>
      </c>
      <c r="E39" s="4" t="s">
        <v>12</v>
      </c>
      <c r="F39" s="2" t="str">
        <f aca="false">PROPER(D39)&amp;" producer / "&amp;PROPER(E39)&amp;" sensitivity"</f>
        <v>High producer / Medium sensitivity</v>
      </c>
      <c r="G39" s="2" t="s">
        <v>13</v>
      </c>
      <c r="H39" s="2" t="s">
        <v>14</v>
      </c>
    </row>
    <row r="40" customFormat="false" ht="23.85" hidden="false" customHeight="false" outlineLevel="0" collapsed="false">
      <c r="A40" s="2" t="s">
        <v>8</v>
      </c>
      <c r="B40" s="2" t="s">
        <v>66</v>
      </c>
      <c r="C40" s="2" t="s">
        <v>68</v>
      </c>
      <c r="D40" s="3" t="s">
        <v>11</v>
      </c>
      <c r="E40" s="4" t="s">
        <v>12</v>
      </c>
      <c r="F40" s="2" t="str">
        <f aca="false">PROPER(D40)&amp;" producer / "&amp;PROPER(E40)&amp;" sensitivity"</f>
        <v>High producer / Medium sensitivity</v>
      </c>
      <c r="G40" s="2" t="s">
        <v>13</v>
      </c>
      <c r="H40" s="2" t="s">
        <v>14</v>
      </c>
    </row>
    <row r="41" customFormat="false" ht="15" hidden="false" customHeight="false" outlineLevel="0" collapsed="false">
      <c r="A41" s="2" t="s">
        <v>8</v>
      </c>
      <c r="B41" s="2" t="s">
        <v>69</v>
      </c>
      <c r="C41" s="2" t="s">
        <v>70</v>
      </c>
      <c r="D41" s="5" t="s">
        <v>32</v>
      </c>
      <c r="E41" s="4" t="s">
        <v>12</v>
      </c>
      <c r="F41" s="2" t="str">
        <f aca="false">PROPER(D41)&amp;" producer / "&amp;PROPER(E41)&amp;" sensitivity"</f>
        <v>Low producer / Medium sensitivity</v>
      </c>
      <c r="G41" s="2" t="s">
        <v>33</v>
      </c>
      <c r="H41" s="2" t="s">
        <v>34</v>
      </c>
    </row>
    <row r="42" customFormat="false" ht="15" hidden="false" customHeight="false" outlineLevel="0" collapsed="false">
      <c r="A42" s="2" t="s">
        <v>8</v>
      </c>
      <c r="B42" s="2" t="s">
        <v>71</v>
      </c>
      <c r="C42" s="2" t="s">
        <v>72</v>
      </c>
      <c r="D42" s="5" t="s">
        <v>32</v>
      </c>
      <c r="E42" s="5" t="s">
        <v>32</v>
      </c>
      <c r="F42" s="2" t="str">
        <f aca="false">PROPER(D42)&amp;" producer / "&amp;PROPER(E42)&amp;" sensitivity"</f>
        <v>Low producer / Low sensitivity</v>
      </c>
      <c r="G42" s="2" t="s">
        <v>39</v>
      </c>
      <c r="H42" s="2" t="s">
        <v>40</v>
      </c>
    </row>
    <row r="43" customFormat="false" ht="15" hidden="false" customHeight="false" outlineLevel="0" collapsed="false">
      <c r="A43" s="2" t="s">
        <v>8</v>
      </c>
      <c r="B43" s="2" t="s">
        <v>71</v>
      </c>
      <c r="C43" s="2" t="s">
        <v>73</v>
      </c>
      <c r="D43" s="5" t="s">
        <v>32</v>
      </c>
      <c r="E43" s="5" t="s">
        <v>32</v>
      </c>
      <c r="F43" s="2" t="str">
        <f aca="false">PROPER(D43)&amp;" producer / "&amp;PROPER(E43)&amp;" sensitivity"</f>
        <v>Low producer / Low sensitivity</v>
      </c>
      <c r="G43" s="2" t="s">
        <v>39</v>
      </c>
      <c r="H43" s="2" t="s">
        <v>40</v>
      </c>
    </row>
    <row r="44" customFormat="false" ht="15" hidden="false" customHeight="false" outlineLevel="0" collapsed="false">
      <c r="A44" s="2" t="s">
        <v>8</v>
      </c>
      <c r="B44" s="2" t="s">
        <v>74</v>
      </c>
      <c r="C44" s="2" t="s">
        <v>74</v>
      </c>
      <c r="D44" s="5" t="s">
        <v>32</v>
      </c>
      <c r="E44" s="5" t="s">
        <v>32</v>
      </c>
      <c r="F44" s="2" t="str">
        <f aca="false">PROPER(D44)&amp;" producer / "&amp;PROPER(E44)&amp;" sensitivity"</f>
        <v>Low producer / Low sensitivity</v>
      </c>
      <c r="G44" s="2" t="s">
        <v>39</v>
      </c>
      <c r="H44" s="2" t="s">
        <v>40</v>
      </c>
    </row>
    <row r="45" customFormat="false" ht="23.85" hidden="false" customHeight="false" outlineLevel="0" collapsed="false">
      <c r="A45" s="2" t="s">
        <v>8</v>
      </c>
      <c r="B45" s="2" t="s">
        <v>75</v>
      </c>
      <c r="C45" s="2" t="s">
        <v>76</v>
      </c>
      <c r="D45" s="5" t="s">
        <v>32</v>
      </c>
      <c r="E45" s="3" t="s">
        <v>11</v>
      </c>
      <c r="F45" s="2" t="str">
        <f aca="false">PROPER(D45)&amp;" producer / "&amp;PROPER(E45)&amp;" sensitivity"</f>
        <v>Low producer / High sensitivity</v>
      </c>
      <c r="G45" s="2" t="s">
        <v>77</v>
      </c>
      <c r="H45" s="2" t="s">
        <v>78</v>
      </c>
    </row>
    <row r="46" customFormat="false" ht="23.85" hidden="false" customHeight="false" outlineLevel="0" collapsed="false">
      <c r="A46" s="2" t="s">
        <v>8</v>
      </c>
      <c r="B46" s="2" t="s">
        <v>75</v>
      </c>
      <c r="C46" s="2" t="s">
        <v>79</v>
      </c>
      <c r="D46" s="5" t="s">
        <v>32</v>
      </c>
      <c r="E46" s="3" t="s">
        <v>11</v>
      </c>
      <c r="F46" s="2" t="str">
        <f aca="false">PROPER(D46)&amp;" producer / "&amp;PROPER(E46)&amp;" sensitivity"</f>
        <v>Low producer / High sensitivity</v>
      </c>
      <c r="G46" s="2" t="s">
        <v>77</v>
      </c>
      <c r="H46" s="2" t="s">
        <v>78</v>
      </c>
    </row>
    <row r="47" customFormat="false" ht="23.85" hidden="false" customHeight="false" outlineLevel="0" collapsed="false">
      <c r="A47" s="2" t="s">
        <v>8</v>
      </c>
      <c r="B47" s="2" t="s">
        <v>75</v>
      </c>
      <c r="C47" s="2" t="s">
        <v>80</v>
      </c>
      <c r="D47" s="5" t="s">
        <v>32</v>
      </c>
      <c r="E47" s="3" t="s">
        <v>11</v>
      </c>
      <c r="F47" s="2" t="str">
        <f aca="false">PROPER(D47)&amp;" producer / "&amp;PROPER(E47)&amp;" sensitivity"</f>
        <v>Low producer / High sensitivity</v>
      </c>
      <c r="G47" s="2" t="s">
        <v>77</v>
      </c>
      <c r="H47" s="2" t="s">
        <v>78</v>
      </c>
    </row>
    <row r="48" customFormat="false" ht="23.85" hidden="false" customHeight="false" outlineLevel="0" collapsed="false">
      <c r="A48" s="2" t="s">
        <v>81</v>
      </c>
      <c r="B48" s="2" t="s">
        <v>82</v>
      </c>
      <c r="C48" s="2" t="s">
        <v>82</v>
      </c>
      <c r="D48" s="5" t="s">
        <v>32</v>
      </c>
      <c r="E48" s="3" t="s">
        <v>11</v>
      </c>
      <c r="F48" s="2" t="str">
        <f aca="false">PROPER(D48)&amp;" producer / "&amp;PROPER(E48)&amp;" sensitivity"</f>
        <v>Low producer / High sensitivity</v>
      </c>
      <c r="G48" s="2" t="s">
        <v>77</v>
      </c>
      <c r="H48" s="2" t="s">
        <v>78</v>
      </c>
    </row>
    <row r="49" customFormat="false" ht="23.85" hidden="false" customHeight="false" outlineLevel="0" collapsed="false">
      <c r="A49" s="2" t="s">
        <v>81</v>
      </c>
      <c r="B49" s="2" t="s">
        <v>83</v>
      </c>
      <c r="C49" s="2" t="s">
        <v>84</v>
      </c>
      <c r="D49" s="5" t="s">
        <v>32</v>
      </c>
      <c r="E49" s="3" t="s">
        <v>11</v>
      </c>
      <c r="F49" s="2" t="str">
        <f aca="false">PROPER(D49)&amp;" producer / "&amp;PROPER(E49)&amp;" sensitivity"</f>
        <v>Low producer / High sensitivity</v>
      </c>
      <c r="G49" s="2" t="s">
        <v>77</v>
      </c>
      <c r="H49" s="2" t="s">
        <v>78</v>
      </c>
    </row>
    <row r="50" customFormat="false" ht="23.85" hidden="false" customHeight="false" outlineLevel="0" collapsed="false">
      <c r="A50" s="2" t="s">
        <v>81</v>
      </c>
      <c r="B50" s="2" t="s">
        <v>83</v>
      </c>
      <c r="C50" s="2" t="s">
        <v>85</v>
      </c>
      <c r="D50" s="5" t="s">
        <v>32</v>
      </c>
      <c r="E50" s="3" t="s">
        <v>11</v>
      </c>
      <c r="F50" s="2" t="str">
        <f aca="false">PROPER(D50)&amp;" producer / "&amp;PROPER(E50)&amp;" sensitivity"</f>
        <v>Low producer / High sensitivity</v>
      </c>
      <c r="G50" s="2" t="s">
        <v>77</v>
      </c>
      <c r="H50" s="2" t="s">
        <v>78</v>
      </c>
    </row>
    <row r="51" customFormat="false" ht="23.85" hidden="false" customHeight="false" outlineLevel="0" collapsed="false">
      <c r="A51" s="2" t="s">
        <v>81</v>
      </c>
      <c r="B51" s="2" t="s">
        <v>83</v>
      </c>
      <c r="C51" s="2" t="s">
        <v>86</v>
      </c>
      <c r="D51" s="5" t="s">
        <v>32</v>
      </c>
      <c r="E51" s="3" t="s">
        <v>11</v>
      </c>
      <c r="F51" s="2" t="str">
        <f aca="false">PROPER(D51)&amp;" producer / "&amp;PROPER(E51)&amp;" sensitivity"</f>
        <v>Low producer / High sensitivity</v>
      </c>
      <c r="G51" s="2" t="s">
        <v>77</v>
      </c>
      <c r="H51" s="2" t="s">
        <v>78</v>
      </c>
    </row>
    <row r="52" customFormat="false" ht="23.85" hidden="false" customHeight="false" outlineLevel="0" collapsed="false">
      <c r="A52" s="2" t="s">
        <v>81</v>
      </c>
      <c r="B52" s="2" t="s">
        <v>87</v>
      </c>
      <c r="C52" s="2" t="s">
        <v>87</v>
      </c>
      <c r="D52" s="5" t="s">
        <v>32</v>
      </c>
      <c r="E52" s="3" t="s">
        <v>11</v>
      </c>
      <c r="F52" s="2" t="str">
        <f aca="false">PROPER(D52)&amp;" producer / "&amp;PROPER(E52)&amp;" sensitivity"</f>
        <v>Low producer / High sensitivity</v>
      </c>
      <c r="G52" s="2" t="s">
        <v>77</v>
      </c>
      <c r="H52" s="2" t="s">
        <v>78</v>
      </c>
    </row>
    <row r="53" customFormat="false" ht="15" hidden="false" customHeight="false" outlineLevel="0" collapsed="false">
      <c r="A53" s="2" t="s">
        <v>81</v>
      </c>
      <c r="B53" s="2" t="s">
        <v>88</v>
      </c>
      <c r="C53" s="2" t="s">
        <v>88</v>
      </c>
      <c r="D53" s="5" t="s">
        <v>32</v>
      </c>
      <c r="E53" s="4" t="s">
        <v>12</v>
      </c>
      <c r="F53" s="2" t="str">
        <f aca="false">PROPER(D53)&amp;" producer / "&amp;PROPER(E53)&amp;" sensitivity"</f>
        <v>Low producer / Medium sensitivity</v>
      </c>
      <c r="G53" s="2" t="s">
        <v>33</v>
      </c>
      <c r="H53" s="2" t="s">
        <v>34</v>
      </c>
    </row>
    <row r="54" customFormat="false" ht="23.85" hidden="false" customHeight="false" outlineLevel="0" collapsed="false">
      <c r="A54" s="2" t="s">
        <v>81</v>
      </c>
      <c r="B54" s="2" t="s">
        <v>89</v>
      </c>
      <c r="C54" s="2" t="s">
        <v>89</v>
      </c>
      <c r="D54" s="5" t="s">
        <v>32</v>
      </c>
      <c r="E54" s="3" t="s">
        <v>11</v>
      </c>
      <c r="F54" s="2" t="str">
        <f aca="false">PROPER(D54)&amp;" producer / "&amp;PROPER(E54)&amp;" sensitivity"</f>
        <v>Low producer / High sensitivity</v>
      </c>
      <c r="G54" s="2" t="s">
        <v>77</v>
      </c>
      <c r="H54" s="2" t="s">
        <v>78</v>
      </c>
    </row>
    <row r="55" customFormat="false" ht="23.85" hidden="false" customHeight="false" outlineLevel="0" collapsed="false">
      <c r="A55" s="2" t="s">
        <v>81</v>
      </c>
      <c r="B55" s="2" t="s">
        <v>90</v>
      </c>
      <c r="C55" s="2" t="s">
        <v>90</v>
      </c>
      <c r="D55" s="5" t="s">
        <v>32</v>
      </c>
      <c r="E55" s="3" t="s">
        <v>11</v>
      </c>
      <c r="F55" s="2" t="str">
        <f aca="false">PROPER(D55)&amp;" producer / "&amp;PROPER(E55)&amp;" sensitivity"</f>
        <v>Low producer / High sensitivity</v>
      </c>
      <c r="G55" s="2" t="s">
        <v>77</v>
      </c>
      <c r="H55" s="2" t="s">
        <v>78</v>
      </c>
    </row>
    <row r="56" customFormat="false" ht="15" hidden="false" customHeight="false" outlineLevel="0" collapsed="false">
      <c r="A56" s="2" t="s">
        <v>81</v>
      </c>
      <c r="B56" s="2" t="s">
        <v>91</v>
      </c>
      <c r="C56" s="2" t="s">
        <v>92</v>
      </c>
      <c r="D56" s="5" t="s">
        <v>32</v>
      </c>
      <c r="E56" s="5" t="s">
        <v>32</v>
      </c>
      <c r="F56" s="2" t="str">
        <f aca="false">PROPER(D56)&amp;" producer / "&amp;PROPER(E56)&amp;" sensitivity"</f>
        <v>Low producer / Low sensitivity</v>
      </c>
      <c r="G56" s="2" t="s">
        <v>39</v>
      </c>
      <c r="H56" s="2" t="s">
        <v>40</v>
      </c>
    </row>
    <row r="57" customFormat="false" ht="15" hidden="false" customHeight="false" outlineLevel="0" collapsed="false">
      <c r="A57" s="2" t="s">
        <v>81</v>
      </c>
      <c r="B57" s="2" t="s">
        <v>93</v>
      </c>
      <c r="C57" s="2" t="s">
        <v>93</v>
      </c>
      <c r="D57" s="5" t="s">
        <v>32</v>
      </c>
      <c r="E57" s="4" t="s">
        <v>12</v>
      </c>
      <c r="F57" s="2" t="str">
        <f aca="false">PROPER(D57)&amp;" producer / "&amp;PROPER(E57)&amp;" sensitivity"</f>
        <v>Low producer / Medium sensitivity</v>
      </c>
      <c r="G57" s="2" t="s">
        <v>33</v>
      </c>
      <c r="H57" s="2" t="s">
        <v>34</v>
      </c>
    </row>
    <row r="58" customFormat="false" ht="23.85" hidden="false" customHeight="false" outlineLevel="0" collapsed="false">
      <c r="A58" s="2" t="s">
        <v>81</v>
      </c>
      <c r="B58" s="2" t="s">
        <v>94</v>
      </c>
      <c r="C58" s="2" t="s">
        <v>94</v>
      </c>
      <c r="D58" s="5" t="s">
        <v>32</v>
      </c>
      <c r="E58" s="3" t="s">
        <v>11</v>
      </c>
      <c r="F58" s="2" t="str">
        <f aca="false">PROPER(D58)&amp;" producer / "&amp;PROPER(E58)&amp;" sensitivity"</f>
        <v>Low producer / High sensitivity</v>
      </c>
      <c r="G58" s="2" t="s">
        <v>77</v>
      </c>
      <c r="H58" s="2" t="s">
        <v>78</v>
      </c>
    </row>
    <row r="59" customFormat="false" ht="23.85" hidden="false" customHeight="false" outlineLevel="0" collapsed="false">
      <c r="A59" s="2" t="s">
        <v>81</v>
      </c>
      <c r="B59" s="2" t="s">
        <v>95</v>
      </c>
      <c r="C59" s="2" t="s">
        <v>96</v>
      </c>
      <c r="D59" s="5" t="s">
        <v>32</v>
      </c>
      <c r="E59" s="3" t="s">
        <v>11</v>
      </c>
      <c r="F59" s="2" t="str">
        <f aca="false">PROPER(D59)&amp;" producer / "&amp;PROPER(E59)&amp;" sensitivity"</f>
        <v>Low producer / High sensitivity</v>
      </c>
      <c r="G59" s="2" t="s">
        <v>77</v>
      </c>
      <c r="H59" s="2" t="s">
        <v>78</v>
      </c>
    </row>
    <row r="60" customFormat="false" ht="15" hidden="false" customHeight="false" outlineLevel="0" collapsed="false">
      <c r="A60" s="2" t="s">
        <v>81</v>
      </c>
      <c r="B60" s="2" t="s">
        <v>97</v>
      </c>
      <c r="C60" s="2" t="s">
        <v>98</v>
      </c>
      <c r="D60" s="5" t="s">
        <v>32</v>
      </c>
      <c r="E60" s="5" t="s">
        <v>32</v>
      </c>
      <c r="F60" s="2" t="str">
        <f aca="false">PROPER(D60)&amp;" producer / "&amp;PROPER(E60)&amp;" sensitivity"</f>
        <v>Low producer / Low sensitivity</v>
      </c>
      <c r="G60" s="2" t="s">
        <v>39</v>
      </c>
      <c r="H60" s="2" t="s">
        <v>40</v>
      </c>
    </row>
    <row r="61" customFormat="false" ht="15" hidden="false" customHeight="false" outlineLevel="0" collapsed="false">
      <c r="A61" s="2" t="s">
        <v>81</v>
      </c>
      <c r="B61" s="2" t="s">
        <v>97</v>
      </c>
      <c r="C61" s="2" t="s">
        <v>99</v>
      </c>
      <c r="D61" s="5" t="s">
        <v>32</v>
      </c>
      <c r="E61" s="5" t="s">
        <v>32</v>
      </c>
      <c r="F61" s="2" t="str">
        <f aca="false">PROPER(D61)&amp;" producer / "&amp;PROPER(E61)&amp;" sensitivity"</f>
        <v>Low producer / Low sensitivity</v>
      </c>
      <c r="G61" s="2" t="s">
        <v>39</v>
      </c>
      <c r="H61" s="2" t="s">
        <v>40</v>
      </c>
    </row>
    <row r="62" customFormat="false" ht="15" hidden="false" customHeight="false" outlineLevel="0" collapsed="false">
      <c r="A62" s="2" t="s">
        <v>81</v>
      </c>
      <c r="B62" s="2" t="s">
        <v>97</v>
      </c>
      <c r="C62" s="2" t="s">
        <v>97</v>
      </c>
      <c r="D62" s="5" t="s">
        <v>32</v>
      </c>
      <c r="E62" s="5" t="s">
        <v>32</v>
      </c>
      <c r="F62" s="2" t="str">
        <f aca="false">PROPER(D62)&amp;" producer / "&amp;PROPER(E62)&amp;" sensitivity"</f>
        <v>Low producer / Low sensitivity</v>
      </c>
      <c r="G62" s="2" t="s">
        <v>39</v>
      </c>
      <c r="H62" s="2" t="s">
        <v>40</v>
      </c>
    </row>
    <row r="63" customFormat="false" ht="15" hidden="false" customHeight="false" outlineLevel="0" collapsed="false">
      <c r="A63" s="2" t="s">
        <v>81</v>
      </c>
      <c r="B63" s="2" t="s">
        <v>97</v>
      </c>
      <c r="C63" s="2" t="s">
        <v>100</v>
      </c>
      <c r="D63" s="5" t="s">
        <v>32</v>
      </c>
      <c r="E63" s="5" t="s">
        <v>32</v>
      </c>
      <c r="F63" s="2" t="str">
        <f aca="false">PROPER(D63)&amp;" producer / "&amp;PROPER(E63)&amp;" sensitivity"</f>
        <v>Low producer / Low sensitivity</v>
      </c>
      <c r="G63" s="2" t="s">
        <v>39</v>
      </c>
      <c r="H63" s="2" t="s">
        <v>40</v>
      </c>
    </row>
    <row r="64" customFormat="false" ht="15" hidden="false" customHeight="false" outlineLevel="0" collapsed="false">
      <c r="A64" s="2" t="s">
        <v>81</v>
      </c>
      <c r="B64" s="2" t="s">
        <v>97</v>
      </c>
      <c r="C64" s="2" t="s">
        <v>101</v>
      </c>
      <c r="D64" s="5" t="s">
        <v>32</v>
      </c>
      <c r="E64" s="5" t="s">
        <v>32</v>
      </c>
      <c r="F64" s="2" t="str">
        <f aca="false">PROPER(D64)&amp;" producer / "&amp;PROPER(E64)&amp;" sensitivity"</f>
        <v>Low producer / Low sensitivity</v>
      </c>
      <c r="G64" s="2" t="s">
        <v>39</v>
      </c>
      <c r="H64" s="2" t="s">
        <v>40</v>
      </c>
    </row>
    <row r="65" customFormat="false" ht="15" hidden="false" customHeight="false" outlineLevel="0" collapsed="false">
      <c r="A65" s="2" t="s">
        <v>81</v>
      </c>
      <c r="B65" s="2" t="s">
        <v>102</v>
      </c>
      <c r="C65" s="2" t="s">
        <v>103</v>
      </c>
      <c r="D65" s="5" t="s">
        <v>32</v>
      </c>
      <c r="E65" s="4" t="s">
        <v>12</v>
      </c>
      <c r="F65" s="2" t="str">
        <f aca="false">PROPER(D65)&amp;" producer / "&amp;PROPER(E65)&amp;" sensitivity"</f>
        <v>Low producer / Medium sensitivity</v>
      </c>
      <c r="G65" s="2" t="s">
        <v>33</v>
      </c>
      <c r="H65" s="2" t="s">
        <v>34</v>
      </c>
    </row>
    <row r="66" customFormat="false" ht="15" hidden="false" customHeight="false" outlineLevel="0" collapsed="false">
      <c r="A66" s="2" t="s">
        <v>81</v>
      </c>
      <c r="B66" s="2" t="s">
        <v>102</v>
      </c>
      <c r="C66" s="2" t="s">
        <v>104</v>
      </c>
      <c r="D66" s="5" t="s">
        <v>32</v>
      </c>
      <c r="E66" s="4" t="s">
        <v>12</v>
      </c>
      <c r="F66" s="2" t="str">
        <f aca="false">PROPER(D66)&amp;" producer / "&amp;PROPER(E66)&amp;" sensitivity"</f>
        <v>Low producer / Medium sensitivity</v>
      </c>
      <c r="G66" s="2" t="s">
        <v>33</v>
      </c>
      <c r="H66" s="2" t="s">
        <v>34</v>
      </c>
    </row>
    <row r="67" customFormat="false" ht="15" hidden="false" customHeight="false" outlineLevel="0" collapsed="false">
      <c r="A67" s="2" t="s">
        <v>81</v>
      </c>
      <c r="B67" s="2" t="s">
        <v>105</v>
      </c>
      <c r="C67" s="2" t="s">
        <v>106</v>
      </c>
      <c r="D67" s="5" t="s">
        <v>32</v>
      </c>
      <c r="E67" s="5" t="s">
        <v>32</v>
      </c>
      <c r="F67" s="2" t="str">
        <f aca="false">PROPER(D67)&amp;" producer / "&amp;PROPER(E67)&amp;" sensitivity"</f>
        <v>Low producer / Low sensitivity</v>
      </c>
      <c r="G67" s="2" t="s">
        <v>39</v>
      </c>
      <c r="H67" s="2" t="s">
        <v>40</v>
      </c>
    </row>
    <row r="68" customFormat="false" ht="15" hidden="false" customHeight="false" outlineLevel="0" collapsed="false">
      <c r="A68" s="2" t="s">
        <v>81</v>
      </c>
      <c r="B68" s="2" t="s">
        <v>105</v>
      </c>
      <c r="C68" s="2" t="s">
        <v>107</v>
      </c>
      <c r="D68" s="5" t="s">
        <v>32</v>
      </c>
      <c r="E68" s="5" t="s">
        <v>32</v>
      </c>
      <c r="F68" s="2" t="str">
        <f aca="false">PROPER(D68)&amp;" producer / "&amp;PROPER(E68)&amp;" sensitivity"</f>
        <v>Low producer / Low sensitivity</v>
      </c>
      <c r="G68" s="2" t="s">
        <v>39</v>
      </c>
      <c r="H68" s="2" t="s">
        <v>40</v>
      </c>
    </row>
    <row r="69" customFormat="false" ht="15" hidden="false" customHeight="false" outlineLevel="0" collapsed="false">
      <c r="A69" s="2" t="s">
        <v>81</v>
      </c>
      <c r="B69" s="2" t="s">
        <v>105</v>
      </c>
      <c r="C69" s="2" t="s">
        <v>108</v>
      </c>
      <c r="D69" s="5" t="s">
        <v>32</v>
      </c>
      <c r="E69" s="5" t="s">
        <v>32</v>
      </c>
      <c r="F69" s="2" t="str">
        <f aca="false">PROPER(D69)&amp;" producer / "&amp;PROPER(E69)&amp;" sensitivity"</f>
        <v>Low producer / Low sensitivity</v>
      </c>
      <c r="G69" s="2" t="s">
        <v>39</v>
      </c>
      <c r="H69" s="2" t="s">
        <v>40</v>
      </c>
    </row>
    <row r="70" customFormat="false" ht="15" hidden="false" customHeight="false" outlineLevel="0" collapsed="false">
      <c r="A70" s="2" t="s">
        <v>81</v>
      </c>
      <c r="B70" s="2" t="s">
        <v>105</v>
      </c>
      <c r="C70" s="2" t="s">
        <v>109</v>
      </c>
      <c r="D70" s="5" t="s">
        <v>32</v>
      </c>
      <c r="E70" s="5" t="s">
        <v>32</v>
      </c>
      <c r="F70" s="2" t="str">
        <f aca="false">PROPER(D70)&amp;" producer / "&amp;PROPER(E70)&amp;" sensitivity"</f>
        <v>Low producer / Low sensitivity</v>
      </c>
      <c r="G70" s="2" t="s">
        <v>39</v>
      </c>
      <c r="H70" s="2" t="s">
        <v>40</v>
      </c>
    </row>
    <row r="71" customFormat="false" ht="15" hidden="false" customHeight="false" outlineLevel="0" collapsed="false">
      <c r="A71" s="2" t="s">
        <v>81</v>
      </c>
      <c r="B71" s="2" t="s">
        <v>105</v>
      </c>
      <c r="C71" s="2" t="s">
        <v>110</v>
      </c>
      <c r="D71" s="5" t="s">
        <v>32</v>
      </c>
      <c r="E71" s="5" t="s">
        <v>32</v>
      </c>
      <c r="F71" s="2" t="str">
        <f aca="false">PROPER(D71)&amp;" producer / "&amp;PROPER(E71)&amp;" sensitivity"</f>
        <v>Low producer / Low sensitivity</v>
      </c>
      <c r="G71" s="2" t="s">
        <v>39</v>
      </c>
      <c r="H71" s="2" t="s">
        <v>40</v>
      </c>
    </row>
    <row r="72" customFormat="false" ht="15" hidden="false" customHeight="false" outlineLevel="0" collapsed="false">
      <c r="A72" s="2" t="s">
        <v>81</v>
      </c>
      <c r="B72" s="2" t="s">
        <v>111</v>
      </c>
      <c r="C72" s="2" t="s">
        <v>112</v>
      </c>
      <c r="D72" s="5" t="s">
        <v>32</v>
      </c>
      <c r="E72" s="4" t="s">
        <v>12</v>
      </c>
      <c r="F72" s="2" t="str">
        <f aca="false">PROPER(D72)&amp;" producer / "&amp;PROPER(E72)&amp;" sensitivity"</f>
        <v>Low producer / Medium sensitivity</v>
      </c>
      <c r="G72" s="2" t="s">
        <v>33</v>
      </c>
      <c r="H72" s="2" t="s">
        <v>34</v>
      </c>
    </row>
    <row r="73" customFormat="false" ht="15" hidden="false" customHeight="false" outlineLevel="0" collapsed="false">
      <c r="A73" s="2" t="s">
        <v>81</v>
      </c>
      <c r="B73" s="2" t="s">
        <v>113</v>
      </c>
      <c r="C73" s="2" t="s">
        <v>113</v>
      </c>
      <c r="D73" s="5" t="s">
        <v>32</v>
      </c>
      <c r="E73" s="5" t="s">
        <v>32</v>
      </c>
      <c r="F73" s="2" t="str">
        <f aca="false">PROPER(D73)&amp;" producer / "&amp;PROPER(E73)&amp;" sensitivity"</f>
        <v>Low producer / Low sensitivity</v>
      </c>
      <c r="G73" s="2" t="s">
        <v>39</v>
      </c>
      <c r="H73" s="2" t="s">
        <v>40</v>
      </c>
    </row>
    <row r="74" customFormat="false" ht="23.85" hidden="false" customHeight="false" outlineLevel="0" collapsed="false">
      <c r="A74" s="2" t="s">
        <v>81</v>
      </c>
      <c r="B74" s="2" t="s">
        <v>114</v>
      </c>
      <c r="C74" s="2" t="s">
        <v>115</v>
      </c>
      <c r="D74" s="4" t="s">
        <v>12</v>
      </c>
      <c r="E74" s="3" t="s">
        <v>11</v>
      </c>
      <c r="F74" s="2" t="str">
        <f aca="false">PROPER(D74)&amp;" producer / "&amp;PROPER(E74)&amp;" sensitivity"</f>
        <v>Medium producer / High sensitivity</v>
      </c>
      <c r="G74" s="2" t="s">
        <v>26</v>
      </c>
      <c r="H74" s="2" t="s">
        <v>27</v>
      </c>
    </row>
    <row r="75" customFormat="false" ht="23.85" hidden="false" customHeight="false" outlineLevel="0" collapsed="false">
      <c r="A75" s="2" t="s">
        <v>81</v>
      </c>
      <c r="B75" s="2" t="s">
        <v>114</v>
      </c>
      <c r="C75" s="2" t="s">
        <v>116</v>
      </c>
      <c r="D75" s="4" t="s">
        <v>12</v>
      </c>
      <c r="E75" s="3" t="s">
        <v>11</v>
      </c>
      <c r="F75" s="2" t="str">
        <f aca="false">PROPER(D75)&amp;" producer / "&amp;PROPER(E75)&amp;" sensitivity"</f>
        <v>Medium producer / High sensitivity</v>
      </c>
      <c r="G75" s="2" t="s">
        <v>26</v>
      </c>
      <c r="H75" s="2" t="s">
        <v>27</v>
      </c>
    </row>
    <row r="76" customFormat="false" ht="23.85" hidden="false" customHeight="false" outlineLevel="0" collapsed="false">
      <c r="A76" s="2" t="s">
        <v>81</v>
      </c>
      <c r="B76" s="2" t="s">
        <v>114</v>
      </c>
      <c r="C76" s="2" t="s">
        <v>117</v>
      </c>
      <c r="D76" s="4" t="s">
        <v>12</v>
      </c>
      <c r="E76" s="3" t="s">
        <v>11</v>
      </c>
      <c r="F76" s="2" t="str">
        <f aca="false">PROPER(D76)&amp;" producer / "&amp;PROPER(E76)&amp;" sensitivity"</f>
        <v>Medium producer / High sensitivity</v>
      </c>
      <c r="G76" s="2" t="s">
        <v>26</v>
      </c>
      <c r="H76" s="2" t="s">
        <v>27</v>
      </c>
    </row>
    <row r="77" customFormat="false" ht="23.85" hidden="false" customHeight="false" outlineLevel="0" collapsed="false">
      <c r="A77" s="2" t="s">
        <v>81</v>
      </c>
      <c r="B77" s="2" t="s">
        <v>114</v>
      </c>
      <c r="C77" s="2" t="s">
        <v>118</v>
      </c>
      <c r="D77" s="4" t="s">
        <v>12</v>
      </c>
      <c r="E77" s="3" t="s">
        <v>11</v>
      </c>
      <c r="F77" s="2" t="str">
        <f aca="false">PROPER(D77)&amp;" producer / "&amp;PROPER(E77)&amp;" sensitivity"</f>
        <v>Medium producer / High sensitivity</v>
      </c>
      <c r="G77" s="2" t="s">
        <v>26</v>
      </c>
      <c r="H77" s="2" t="s">
        <v>27</v>
      </c>
    </row>
    <row r="78" customFormat="false" ht="23.85" hidden="false" customHeight="false" outlineLevel="0" collapsed="false">
      <c r="A78" s="2" t="s">
        <v>81</v>
      </c>
      <c r="B78" s="2" t="s">
        <v>114</v>
      </c>
      <c r="C78" s="2" t="s">
        <v>119</v>
      </c>
      <c r="D78" s="4" t="s">
        <v>12</v>
      </c>
      <c r="E78" s="3" t="s">
        <v>11</v>
      </c>
      <c r="F78" s="2" t="str">
        <f aca="false">PROPER(D78)&amp;" producer / "&amp;PROPER(E78)&amp;" sensitivity"</f>
        <v>Medium producer / High sensitivity</v>
      </c>
      <c r="G78" s="2" t="s">
        <v>26</v>
      </c>
      <c r="H78" s="2" t="s">
        <v>27</v>
      </c>
    </row>
    <row r="79" customFormat="false" ht="23.85" hidden="false" customHeight="false" outlineLevel="0" collapsed="false">
      <c r="A79" s="2" t="s">
        <v>81</v>
      </c>
      <c r="B79" s="2" t="s">
        <v>114</v>
      </c>
      <c r="C79" s="2" t="s">
        <v>120</v>
      </c>
      <c r="D79" s="4" t="s">
        <v>12</v>
      </c>
      <c r="E79" s="3" t="s">
        <v>11</v>
      </c>
      <c r="F79" s="2" t="str">
        <f aca="false">PROPER(D79)&amp;" producer / "&amp;PROPER(E79)&amp;" sensitivity"</f>
        <v>Medium producer / High sensitivity</v>
      </c>
      <c r="G79" s="2" t="s">
        <v>26</v>
      </c>
      <c r="H79" s="2" t="s">
        <v>27</v>
      </c>
    </row>
    <row r="80" customFormat="false" ht="23.85" hidden="false" customHeight="false" outlineLevel="0" collapsed="false">
      <c r="A80" s="2" t="s">
        <v>81</v>
      </c>
      <c r="B80" s="2" t="s">
        <v>114</v>
      </c>
      <c r="C80" s="2" t="s">
        <v>121</v>
      </c>
      <c r="D80" s="4" t="s">
        <v>12</v>
      </c>
      <c r="E80" s="3" t="s">
        <v>11</v>
      </c>
      <c r="F80" s="2" t="str">
        <f aca="false">PROPER(D80)&amp;" producer / "&amp;PROPER(E80)&amp;" sensitivity"</f>
        <v>Medium producer / High sensitivity</v>
      </c>
      <c r="G80" s="2" t="s">
        <v>26</v>
      </c>
      <c r="H80" s="2" t="s">
        <v>27</v>
      </c>
    </row>
    <row r="81" customFormat="false" ht="23.85" hidden="false" customHeight="false" outlineLevel="0" collapsed="false">
      <c r="A81" s="2" t="s">
        <v>81</v>
      </c>
      <c r="B81" s="2" t="s">
        <v>114</v>
      </c>
      <c r="C81" s="2" t="s">
        <v>122</v>
      </c>
      <c r="D81" s="4" t="s">
        <v>12</v>
      </c>
      <c r="E81" s="3" t="s">
        <v>11</v>
      </c>
      <c r="F81" s="2" t="str">
        <f aca="false">PROPER(D81)&amp;" producer / "&amp;PROPER(E81)&amp;" sensitivity"</f>
        <v>Medium producer / High sensitivity</v>
      </c>
      <c r="G81" s="2" t="s">
        <v>26</v>
      </c>
      <c r="H81" s="2" t="s">
        <v>27</v>
      </c>
    </row>
    <row r="82" customFormat="false" ht="23.85" hidden="false" customHeight="false" outlineLevel="0" collapsed="false">
      <c r="A82" s="2" t="s">
        <v>81</v>
      </c>
      <c r="B82" s="2" t="s">
        <v>114</v>
      </c>
      <c r="C82" s="2" t="s">
        <v>123</v>
      </c>
      <c r="D82" s="4" t="s">
        <v>12</v>
      </c>
      <c r="E82" s="3" t="s">
        <v>11</v>
      </c>
      <c r="F82" s="2" t="str">
        <f aca="false">PROPER(D82)&amp;" producer / "&amp;PROPER(E82)&amp;" sensitivity"</f>
        <v>Medium producer / High sensitivity</v>
      </c>
      <c r="G82" s="2" t="s">
        <v>26</v>
      </c>
      <c r="H82" s="2" t="s">
        <v>27</v>
      </c>
    </row>
    <row r="83" customFormat="false" ht="23.85" hidden="false" customHeight="false" outlineLevel="0" collapsed="false">
      <c r="A83" s="2" t="s">
        <v>81</v>
      </c>
      <c r="B83" s="2" t="s">
        <v>114</v>
      </c>
      <c r="C83" s="2" t="s">
        <v>124</v>
      </c>
      <c r="D83" s="4" t="s">
        <v>12</v>
      </c>
      <c r="E83" s="3" t="s">
        <v>11</v>
      </c>
      <c r="F83" s="2" t="str">
        <f aca="false">PROPER(D83)&amp;" producer / "&amp;PROPER(E83)&amp;" sensitivity"</f>
        <v>Medium producer / High sensitivity</v>
      </c>
      <c r="G83" s="2" t="s">
        <v>26</v>
      </c>
      <c r="H83" s="2" t="s">
        <v>27</v>
      </c>
    </row>
    <row r="84" customFormat="false" ht="23.85" hidden="false" customHeight="false" outlineLevel="0" collapsed="false">
      <c r="A84" s="2" t="s">
        <v>81</v>
      </c>
      <c r="B84" s="2" t="s">
        <v>114</v>
      </c>
      <c r="C84" s="2" t="s">
        <v>125</v>
      </c>
      <c r="D84" s="4" t="s">
        <v>12</v>
      </c>
      <c r="E84" s="3" t="s">
        <v>11</v>
      </c>
      <c r="F84" s="2" t="str">
        <f aca="false">PROPER(D84)&amp;" producer / "&amp;PROPER(E84)&amp;" sensitivity"</f>
        <v>Medium producer / High sensitivity</v>
      </c>
      <c r="G84" s="2" t="s">
        <v>26</v>
      </c>
      <c r="H84" s="2" t="s">
        <v>27</v>
      </c>
    </row>
    <row r="85" customFormat="false" ht="15" hidden="false" customHeight="false" outlineLevel="0" collapsed="false">
      <c r="A85" s="2" t="s">
        <v>81</v>
      </c>
      <c r="B85" s="2" t="s">
        <v>126</v>
      </c>
      <c r="C85" s="2" t="s">
        <v>127</v>
      </c>
      <c r="D85" s="5" t="s">
        <v>32</v>
      </c>
      <c r="E85" s="4" t="s">
        <v>12</v>
      </c>
      <c r="F85" s="2" t="str">
        <f aca="false">PROPER(D85)&amp;" producer / "&amp;PROPER(E85)&amp;" sensitivity"</f>
        <v>Low producer / Medium sensitivity</v>
      </c>
      <c r="G85" s="2" t="s">
        <v>33</v>
      </c>
      <c r="H85" s="2" t="s">
        <v>34</v>
      </c>
    </row>
  </sheetData>
  <autoFilter ref="A1:H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42"/>
  </cols>
  <sheetData>
    <row r="1" customFormat="false" ht="15" hidden="false" customHeight="false" outlineLevel="0" collapsed="false">
      <c r="A1" s="6" t="s">
        <v>128</v>
      </c>
    </row>
    <row r="2" customFormat="false" ht="15" hidden="false" customHeight="false" outlineLevel="0" collapsed="false">
      <c r="A2" s="7" t="s">
        <v>129</v>
      </c>
    </row>
    <row r="4" customFormat="false" ht="15" hidden="false" customHeight="false" outlineLevel="0" collapsed="false">
      <c r="A4" s="1" t="s">
        <v>130</v>
      </c>
      <c r="B4" s="1" t="s">
        <v>131</v>
      </c>
      <c r="C4" s="1" t="s">
        <v>132</v>
      </c>
      <c r="D4" s="1" t="s">
        <v>133</v>
      </c>
    </row>
    <row r="5" customFormat="false" ht="15" hidden="false" customHeight="true" outlineLevel="0" collapsed="false">
      <c r="A5" s="8" t="s">
        <v>134</v>
      </c>
      <c r="B5" s="9" t="str">
        <f aca="false">COUNTIFS(Profiles!$D$2:$D$85,"high",Profiles!$E$2:$E$85,"high")&amp;" products"</f>
        <v>4 products</v>
      </c>
      <c r="C5" s="9" t="str">
        <f aca="false">COUNTIFS(Profiles!$D$2:$D$85,"high",Profiles!$E$2:$E$85,"medium")&amp;" products"</f>
        <v>21 products</v>
      </c>
      <c r="D5" s="9" t="str">
        <f aca="false">COUNTIFS(Profiles!$D$2:$D$85,"high",Profiles!$E$2:$E$85,"low")&amp;" products"</f>
        <v>0 products</v>
      </c>
    </row>
    <row r="6" customFormat="false" ht="75" hidden="false" customHeight="true" outlineLevel="0" collapsed="false">
      <c r="A6" s="8"/>
      <c r="B6" s="10" t="s">
        <v>135</v>
      </c>
      <c r="C6" s="10" t="s">
        <v>136</v>
      </c>
      <c r="D6" s="10" t="s">
        <v>137</v>
      </c>
    </row>
    <row r="7" customFormat="false" ht="15" hidden="false" customHeight="true" outlineLevel="0" collapsed="false">
      <c r="A7" s="8" t="s">
        <v>138</v>
      </c>
      <c r="B7" s="9" t="str">
        <f aca="false">COUNTIFS(Profiles!$D$2:$D$85,"medium",Profiles!$E$2:$E$85,"high")&amp;" products"</f>
        <v>14 products</v>
      </c>
      <c r="C7" s="9" t="str">
        <f aca="false">COUNTIFS(Profiles!$D$2:$D$85,"medium",Profiles!$E$2:$E$85,"medium")&amp;" products"</f>
        <v>3 products</v>
      </c>
      <c r="D7" s="9" t="str">
        <f aca="false">COUNTIFS(Profiles!$D$2:$D$85,"medium",Profiles!$E$2:$E$85,"low")&amp;" products"</f>
        <v>0 products</v>
      </c>
    </row>
    <row r="8" customFormat="false" ht="75" hidden="false" customHeight="true" outlineLevel="0" collapsed="false">
      <c r="A8" s="8"/>
      <c r="B8" s="10" t="s">
        <v>139</v>
      </c>
      <c r="C8" s="10" t="s">
        <v>140</v>
      </c>
      <c r="D8" s="10" t="s">
        <v>137</v>
      </c>
    </row>
    <row r="9" customFormat="false" ht="15" hidden="false" customHeight="true" outlineLevel="0" collapsed="false">
      <c r="A9" s="8" t="s">
        <v>141</v>
      </c>
      <c r="B9" s="9" t="str">
        <f aca="false">COUNTIFS(Profiles!$D$2:$D$85,"low",Profiles!$E$2:$E$85,"high")&amp;" products"</f>
        <v>12 products</v>
      </c>
      <c r="C9" s="9" t="str">
        <f aca="false">COUNTIFS(Profiles!$D$2:$D$85,"low",Profiles!$E$2:$E$85,"medium")&amp;" products"</f>
        <v>13 products</v>
      </c>
      <c r="D9" s="9" t="str">
        <f aca="false">COUNTIFS(Profiles!$D$2:$D$85,"low",Profiles!$E$2:$E$85,"low")&amp;" products"</f>
        <v>17 products</v>
      </c>
    </row>
    <row r="10" customFormat="false" ht="75" hidden="false" customHeight="true" outlineLevel="0" collapsed="false">
      <c r="A10" s="8"/>
      <c r="B10" s="10" t="s">
        <v>142</v>
      </c>
      <c r="C10" s="10" t="s">
        <v>143</v>
      </c>
      <c r="D10" s="10" t="s">
        <v>144</v>
      </c>
    </row>
    <row r="12" customFormat="false" ht="15" hidden="false" customHeight="false" outlineLevel="0" collapsed="false">
      <c r="A12" s="11" t="s">
        <v>145</v>
      </c>
    </row>
    <row r="13" customFormat="false" ht="15" hidden="false" customHeight="false" outlineLevel="0" collapsed="false">
      <c r="A13" s="12" t="s">
        <v>146</v>
      </c>
    </row>
    <row r="14" customFormat="false" ht="15" hidden="false" customHeight="false" outlineLevel="0" collapsed="false">
      <c r="A14" s="12" t="s">
        <v>147</v>
      </c>
    </row>
    <row r="15" customFormat="false" ht="15" hidden="false" customHeight="false" outlineLevel="0" collapsed="false">
      <c r="A15" s="12" t="s">
        <v>148</v>
      </c>
    </row>
    <row r="16" customFormat="false" ht="15" hidden="false" customHeight="false" outlineLevel="0" collapsed="false">
      <c r="A16" s="12" t="s">
        <v>149</v>
      </c>
    </row>
  </sheetData>
  <mergeCells count="3">
    <mergeCell ref="A5:A6"/>
    <mergeCell ref="A7:A8"/>
    <mergeCell ref="A9:A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3.85" hidden="false" customHeight="false" outlineLevel="0" collapsed="false">
      <c r="A1" s="13" t="s">
        <v>150</v>
      </c>
    </row>
    <row r="2" customFormat="false" ht="23.85" hidden="false" customHeight="false" outlineLevel="0" collapsed="false">
      <c r="A2" s="13" t="s">
        <v>151</v>
      </c>
    </row>
    <row r="3" customFormat="false" ht="15" hidden="false" customHeight="false" outlineLevel="0" collapsed="false">
      <c r="A3" s="13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2026-10-11T03:30:04Z</dcterms:created>
  <dc:creator>openpyxl</dc:creator>
  <dc:description/>
  <dc:language>en-US</dc:language>
  <cp:lastModifiedBy/>
  <dcterms:modified xsi:type="dcterms:W3CDTF">2026-10-11T03:30:04Z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